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Dell\Desktop\DATA ANALYTICS\90-DAYS SKILL PRACTICE\"/>
    </mc:Choice>
  </mc:AlternateContent>
  <xr:revisionPtr revIDLastSave="0" documentId="13_ncr:1_{0D3087A6-7471-4EAC-B531-717F342F3F65}" xr6:coauthVersionLast="47" xr6:coauthVersionMax="47" xr10:uidLastSave="{00000000-0000-0000-0000-000000000000}"/>
  <bookViews>
    <workbookView xWindow="-120" yWindow="-120" windowWidth="20730" windowHeight="11310" activeTab="1" xr2:uid="{AB0341C7-11D9-4795-B95D-B871F5B3788A}"/>
  </bookViews>
  <sheets>
    <sheet name="Pivot Table" sheetId="3" r:id="rId1"/>
    <sheet name="SOL-VASE-14_Forecast_Base_v1." sheetId="2" r:id="rId2"/>
    <sheet name="Capstone Summary" sheetId="5" r:id="rId3"/>
    <sheet name="SOL-VASE-14_Raw_Export" sheetId="4" r:id="rId4"/>
  </sheets>
  <definedNames>
    <definedName name="ExternalData_1" localSheetId="1" hidden="1">'SOL-VASE-14_Forecast_Base_v1.'!$A$1:$H$41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3" l="1"/>
  <c r="E7" i="3" s="1"/>
  <c r="D6" i="3"/>
  <c r="E6" i="3" s="1"/>
  <c r="D5" i="3"/>
  <c r="E5" i="3" s="1"/>
  <c r="D4" i="3"/>
  <c r="E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4D0FDD-127E-4864-8258-53F7E3350E9A}" keepAlive="1" name="Query - SOL-VASE-14_Raw_Export" description="Connection to the 'SOL-VASE-14_Raw_Export' query in the workbook." type="5" refreshedVersion="8" background="1" saveData="1">
    <dbPr connection="Provider=Microsoft.Mashup.OleDb.1;Data Source=$Workbook$;Location=SOL-VASE-14_Raw_Export;Extended Properties=&quot;&quot;" command="SELECT * FROM [SOL-VASE-14_Raw_Export]"/>
  </connection>
</connections>
</file>

<file path=xl/sharedStrings.xml><?xml version="1.0" encoding="utf-8"?>
<sst xmlns="http://schemas.openxmlformats.org/spreadsheetml/2006/main" count="327" uniqueCount="46">
  <si>
    <t>SKU</t>
  </si>
  <si>
    <t>SKU_name</t>
  </si>
  <si>
    <t>Warehouse_Region</t>
  </si>
  <si>
    <t>Units_On_Hand</t>
  </si>
  <si>
    <t>Units_Sold_LastLaunch</t>
  </si>
  <si>
    <t>Month</t>
  </si>
  <si>
    <t>Day</t>
  </si>
  <si>
    <t>Year</t>
  </si>
  <si>
    <t>SOL-VASE-14</t>
  </si>
  <si>
    <t>Solstice Ceramic Vase</t>
  </si>
  <si>
    <t>Lagos</t>
  </si>
  <si>
    <t>Port-Harcourt</t>
  </si>
  <si>
    <t>Abuja</t>
  </si>
  <si>
    <t xml:space="preserve"> Abuja</t>
  </si>
  <si>
    <t xml:space="preserve">Lagos  </t>
  </si>
  <si>
    <t>Sum of Units_On_Hand</t>
  </si>
  <si>
    <t>Row Labels</t>
  </si>
  <si>
    <t>Grand Total</t>
  </si>
  <si>
    <t>Sum of Units_Sold_LastLaunch</t>
  </si>
  <si>
    <t>Initial Stock</t>
  </si>
  <si>
    <t xml:space="preserve">Sell-Through % </t>
  </si>
  <si>
    <t>Date</t>
  </si>
  <si>
    <t>SOL VASE 14</t>
  </si>
  <si>
    <t>ph</t>
  </si>
  <si>
    <t>sol-vase-14</t>
  </si>
  <si>
    <t>PH</t>
  </si>
  <si>
    <t>SOL-VASE-14 - Solstice Ceramic Vase</t>
  </si>
  <si>
    <t>ABUJA</t>
  </si>
  <si>
    <t>lagos</t>
  </si>
  <si>
    <t>SOL-VASE-14 — Capstone Summary</t>
  </si>
  <si>
    <t>90-Day Data Analysis Skill Practice Training</t>
  </si>
  <si>
    <t>Region</t>
  </si>
  <si>
    <t>1. Dataset Overview and Cleaning</t>
  </si>
  <si>
    <t>The dataset was cleaned by removing 15 duplicate rows, standardising product and region names, and reviewing missing sales values. After cleaning, the dataset contained 40 rows. Missing values replaced with zero require further verification, as blank cells do not necessarily indicate zero sales.</t>
  </si>
  <si>
    <t>2. Sales Performance by Region</t>
  </si>
  <si>
    <t>Units on Hand</t>
  </si>
  <si>
    <t>Units Sold</t>
  </si>
  <si>
    <t>Port Harcourt</t>
  </si>
  <si>
    <t>3. Key Finding</t>
  </si>
  <si>
    <t>Based on the current totals, Port Harcourt recorded the highest provisional sell-through rate among the three regions. However, the stock discrepancy identified in the original data must be verified before this finding can be confirmed.</t>
  </si>
  <si>
    <t>4. Identified Stock Issue</t>
  </si>
  <si>
    <t>The original dataset contains a Port Harcourt stock value of 25.4 that appears inconsistent with the reported stock total. This value has been flagged for verification rather than altered without supporting evidence.</t>
  </si>
  <si>
    <t>5. Recommendations</t>
  </si>
  <si>
    <t>The stock discrepancy and missing sales values should be investigated and resolved before the dataset is used for forecasting or inventory planning. For future product launches, sales should be compared across regions and launch days to support better stock allocation and improve inventory management.</t>
  </si>
  <si>
    <t>6. Learning Reflection</t>
  </si>
  <si>
    <t>This exercise helped me understand the importance of data cleaning, handling missing values carefully, standardising inconsistent entries, and identifying unusual values that require further investigation. I also learned that data analysis involves more than presenting figures; it requires checking data quality before drawing conclusions and making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</si>
</sst>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14" fontId="0" fillId="0" borderId="0" xfId="0" applyNumberFormat="1"/>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4" fontId="0" fillId="0" borderId="0" xfId="0" applyNumberFormat="1" applyAlignment="1">
      <alignment vertical="center" wrapText="1"/>
    </xf>
    <xf numFmtId="0" fontId="3" fillId="0" borderId="0" xfId="0" applyFont="1" applyAlignment="1">
      <alignment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5.145914814813" createdVersion="8" refreshedVersion="8" minRefreshableVersion="3" recordCount="40" xr:uid="{56CD687A-5C85-4B78-8BF3-7FB81F004A31}">
  <cacheSource type="worksheet">
    <worksheetSource name="SOL_VASE_14_Raw_Export"/>
  </cacheSource>
  <cacheFields count="8">
    <cacheField name="SKU" numFmtId="0">
      <sharedItems/>
    </cacheField>
    <cacheField name="SKU_name" numFmtId="0">
      <sharedItems/>
    </cacheField>
    <cacheField name="Warehouse_Region" numFmtId="0">
      <sharedItems count="5">
        <s v="Lagos"/>
        <s v="Port-Harcourt"/>
        <s v="Abuja"/>
        <s v=" Abuja" u="1"/>
        <s v="Lagos  " u="1"/>
      </sharedItems>
    </cacheField>
    <cacheField name="Units_On_Hand" numFmtId="0">
      <sharedItems containsSemiMixedTypes="0" containsString="0" containsNumber="1" minValue="25.4" maxValue="498"/>
    </cacheField>
    <cacheField name="Units_Sold_LastLaunch" numFmtId="0">
      <sharedItems containsSemiMixedTypes="0" containsString="0" containsNumber="1" containsInteger="1" minValue="0" maxValue="200"/>
    </cacheField>
    <cacheField name="Month" numFmtId="0">
      <sharedItems containsSemiMixedTypes="0" containsString="0" containsNumber="1" containsInteger="1" minValue="1" maxValue="1"/>
    </cacheField>
    <cacheField name="Day" numFmtId="0">
      <sharedItems containsSemiMixedTypes="0" containsString="0" containsNumber="1" containsInteger="1" minValue="1" maxValue="28"/>
    </cacheField>
    <cacheField name="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SOL-VASE-14"/>
    <s v="Solstice Ceramic Vase"/>
    <x v="0"/>
    <n v="385"/>
    <n v="137"/>
    <n v="1"/>
    <n v="2"/>
    <n v="2026"/>
  </r>
  <r>
    <s v="SOL-VASE-14"/>
    <s v="Sol-Vase-14"/>
    <x v="1"/>
    <n v="284"/>
    <n v="46"/>
    <n v="1"/>
    <n v="3"/>
    <n v="2026"/>
  </r>
  <r>
    <s v="SOL-VASE-14"/>
    <s v="Sol-Vase-14"/>
    <x v="1"/>
    <n v="429"/>
    <n v="149"/>
    <n v="1"/>
    <n v="3"/>
    <n v="2026"/>
  </r>
  <r>
    <s v="SOL-VASE-14"/>
    <s v="Sol-Vase-14"/>
    <x v="0"/>
    <n v="400"/>
    <n v="93"/>
    <n v="1"/>
    <n v="26"/>
    <n v="2026"/>
  </r>
  <r>
    <s v="SOL-VASE-14"/>
    <s v="Sol-Vase-14"/>
    <x v="2"/>
    <n v="464"/>
    <n v="11"/>
    <n v="1"/>
    <n v="9"/>
    <n v="2026"/>
  </r>
  <r>
    <s v="SOL-VASE-14"/>
    <s v="Sol-Vase-14"/>
    <x v="1"/>
    <n v="498"/>
    <n v="193"/>
    <n v="1"/>
    <n v="1"/>
    <n v="2026"/>
  </r>
  <r>
    <s v="SOL-VASE-14"/>
    <s v="Sol-Vase-14"/>
    <x v="1"/>
    <n v="490"/>
    <n v="12"/>
    <n v="1"/>
    <n v="12"/>
    <n v="2026"/>
  </r>
  <r>
    <s v="SOL-VASE-14"/>
    <s v="Sol-Vase-14"/>
    <x v="2"/>
    <n v="310"/>
    <n v="0"/>
    <n v="1"/>
    <n v="7"/>
    <n v="2026"/>
  </r>
  <r>
    <s v="SOL-VASE-14"/>
    <s v="Sol-Vase-14 - Solstice Ceramic Vase"/>
    <x v="2"/>
    <n v="162"/>
    <n v="124"/>
    <n v="1"/>
    <n v="8"/>
    <n v="2026"/>
  </r>
  <r>
    <s v="SOL-VASE-14"/>
    <s v="Solstice Ceramic Vase"/>
    <x v="1"/>
    <n v="184"/>
    <n v="0"/>
    <n v="1"/>
    <n v="5"/>
    <n v="2026"/>
  </r>
  <r>
    <s v="SOL-VASE-14"/>
    <s v="Sol-Vase-14"/>
    <x v="0"/>
    <n v="410"/>
    <n v="27"/>
    <n v="1"/>
    <n v="17"/>
    <n v="2026"/>
  </r>
  <r>
    <s v="SOL-VASE-14"/>
    <s v="Sol-Vase-14"/>
    <x v="1"/>
    <n v="166"/>
    <n v="84"/>
    <n v="1"/>
    <n v="18"/>
    <n v="2026"/>
  </r>
  <r>
    <s v="SOL-VASE-14"/>
    <s v="Solstice Ceramic Vase"/>
    <x v="2"/>
    <n v="175"/>
    <n v="0"/>
    <n v="1"/>
    <n v="24"/>
    <n v="2026"/>
  </r>
  <r>
    <s v="SOL-VASE-14"/>
    <s v="Sol-Vase-14"/>
    <x v="0"/>
    <n v="490"/>
    <n v="38"/>
    <n v="1"/>
    <n v="8"/>
    <n v="2026"/>
  </r>
  <r>
    <s v="SOL-VASE-14"/>
    <s v="Solstice Ceramic Vase"/>
    <x v="0"/>
    <n v="493"/>
    <n v="35"/>
    <n v="1"/>
    <n v="19"/>
    <n v="2026"/>
  </r>
  <r>
    <s v="SOL-VASE-14"/>
    <s v="Sol-Vase-14"/>
    <x v="2"/>
    <n v="187"/>
    <n v="26"/>
    <n v="1"/>
    <n v="28"/>
    <n v="2026"/>
  </r>
  <r>
    <s v="SOL-VASE-14"/>
    <s v="Sol-Vase-14"/>
    <x v="1"/>
    <n v="25.4"/>
    <n v="102"/>
    <n v="1"/>
    <n v="6"/>
    <n v="2026"/>
  </r>
  <r>
    <s v="SOL-VASE-14"/>
    <s v="Sol-Vase-14"/>
    <x v="2"/>
    <n v="90"/>
    <n v="151"/>
    <n v="1"/>
    <n v="15"/>
    <n v="2026"/>
  </r>
  <r>
    <s v="SOL-VASE-14"/>
    <s v="Sol-Vase-14"/>
    <x v="0"/>
    <n v="244"/>
    <n v="0"/>
    <n v="1"/>
    <n v="12"/>
    <n v="2026"/>
  </r>
  <r>
    <s v="SOL-VASE-14"/>
    <s v="Sol-Vase-14"/>
    <x v="1"/>
    <n v="186"/>
    <n v="189"/>
    <n v="1"/>
    <n v="22"/>
    <n v="2026"/>
  </r>
  <r>
    <s v="SOL-VASE-14"/>
    <s v="Sol-Vase-14"/>
    <x v="2"/>
    <n v="359"/>
    <n v="0"/>
    <n v="1"/>
    <n v="13"/>
    <n v="2026"/>
  </r>
  <r>
    <s v="SOL-VASE-14"/>
    <s v="Sol-Vase-14"/>
    <x v="0"/>
    <n v="266"/>
    <n v="97"/>
    <n v="1"/>
    <n v="10"/>
    <n v="2026"/>
  </r>
  <r>
    <s v="SOL-VASE-14"/>
    <s v="Sol-Vase-14"/>
    <x v="0"/>
    <n v="470"/>
    <n v="18"/>
    <n v="1"/>
    <n v="27"/>
    <n v="2026"/>
  </r>
  <r>
    <s v="SOL-VASE-14"/>
    <s v="Sol-Vase-14 - Solstice Ceramic Vase"/>
    <x v="1"/>
    <n v="382"/>
    <n v="0"/>
    <n v="1"/>
    <n v="7"/>
    <n v="2026"/>
  </r>
  <r>
    <s v="SOL-VASE-14"/>
    <s v="Sol-Vase-14 - Solstice Ceramic Vase"/>
    <x v="1"/>
    <n v="375"/>
    <n v="53"/>
    <n v="1"/>
    <n v="23"/>
    <n v="2026"/>
  </r>
  <r>
    <s v="SOL-VASE-14"/>
    <s v="Sol-Vase-14"/>
    <x v="1"/>
    <n v="107"/>
    <n v="0"/>
    <n v="1"/>
    <n v="1"/>
    <n v="2026"/>
  </r>
  <r>
    <s v="SOL-VASE-14"/>
    <s v="Sol-Vase-14 - Solstice Ceramic Vase"/>
    <x v="2"/>
    <n v="188"/>
    <n v="173"/>
    <n v="1"/>
    <n v="25"/>
    <n v="2026"/>
  </r>
  <r>
    <s v="SOL-VASE-14"/>
    <s v="Sol-Vase-14"/>
    <x v="1"/>
    <n v="285"/>
    <n v="147"/>
    <n v="1"/>
    <n v="14"/>
    <n v="2026"/>
  </r>
  <r>
    <s v="SOL-VASE-14"/>
    <s v="Sol-Vase-14"/>
    <x v="0"/>
    <n v="160"/>
    <n v="96"/>
    <n v="1"/>
    <n v="11"/>
    <n v="2026"/>
  </r>
  <r>
    <s v="SOL-VASE-14"/>
    <s v="Solstice Ceramic Vase"/>
    <x v="1"/>
    <n v="82"/>
    <n v="108"/>
    <n v="1"/>
    <n v="10"/>
    <n v="2026"/>
  </r>
  <r>
    <s v="SOL-VASE-14"/>
    <s v="Sol-Vase-14 - Solstice Ceramic Vase"/>
    <x v="0"/>
    <n v="161"/>
    <n v="69"/>
    <n v="1"/>
    <n v="5"/>
    <n v="2026"/>
  </r>
  <r>
    <s v="SOL-VASE-14"/>
    <s v="Sol-Vase-14"/>
    <x v="1"/>
    <n v="63"/>
    <n v="153"/>
    <n v="1"/>
    <n v="6"/>
    <n v="2026"/>
  </r>
  <r>
    <s v="SOL-VASE-14"/>
    <s v="Solstice Ceramic Vase"/>
    <x v="1"/>
    <n v="131"/>
    <n v="184"/>
    <n v="1"/>
    <n v="9"/>
    <n v="2026"/>
  </r>
  <r>
    <s v="SOL-VASE-14"/>
    <s v="Sol-Vase-14"/>
    <x v="1"/>
    <n v="266"/>
    <n v="18"/>
    <n v="1"/>
    <n v="4"/>
    <n v="2026"/>
  </r>
  <r>
    <s v="SOL-VASE-14"/>
    <s v="Sol-Vase-14 - Solstice Ceramic Vase"/>
    <x v="1"/>
    <n v="366"/>
    <n v="102"/>
    <n v="1"/>
    <n v="16"/>
    <n v="2026"/>
  </r>
  <r>
    <s v="SOL-VASE-14"/>
    <s v="Sol-Vase-14"/>
    <x v="2"/>
    <n v="282"/>
    <n v="0"/>
    <n v="1"/>
    <n v="20"/>
    <n v="2026"/>
  </r>
  <r>
    <s v="SOL-VASE-14"/>
    <s v="Sol-Vase-14"/>
    <x v="0"/>
    <n v="164"/>
    <n v="45"/>
    <n v="1"/>
    <n v="2"/>
    <n v="2026"/>
  </r>
  <r>
    <s v="SOL-VASE-14"/>
    <s v="Sol-Vase-14 - Solstice Ceramic Vase"/>
    <x v="0"/>
    <n v="176"/>
    <n v="200"/>
    <n v="1"/>
    <n v="4"/>
    <n v="2026"/>
  </r>
  <r>
    <s v="SOL-VASE-14"/>
    <s v="Sol-Vase-14"/>
    <x v="0"/>
    <n v="239"/>
    <n v="100"/>
    <n v="1"/>
    <n v="21"/>
    <n v="2026"/>
  </r>
  <r>
    <s v="SOL-VASE-14"/>
    <s v="Sol-Vase-14"/>
    <x v="1"/>
    <n v="289"/>
    <n v="0"/>
    <n v="1"/>
    <n v="11"/>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7C3DA5-BD5F-4CF5-8962-17B725D40B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axis="axisRow" showAll="0">
      <items count="6">
        <item m="1" x="3"/>
        <item x="2"/>
        <item x="0"/>
        <item m="1" x="4"/>
        <item x="1"/>
        <item t="default"/>
      </items>
    </pivotField>
    <pivotField dataField="1" showAll="0"/>
    <pivotField dataField="1" showAll="0"/>
    <pivotField showAll="0"/>
    <pivotField showAll="0"/>
    <pivotField showAll="0"/>
  </pivotFields>
  <rowFields count="1">
    <field x="2"/>
  </rowFields>
  <rowItems count="4">
    <i>
      <x v="1"/>
    </i>
    <i>
      <x v="2"/>
    </i>
    <i>
      <x v="4"/>
    </i>
    <i t="grand">
      <x/>
    </i>
  </rowItems>
  <colFields count="1">
    <field x="-2"/>
  </colFields>
  <colItems count="2">
    <i>
      <x/>
    </i>
    <i i="1">
      <x v="1"/>
    </i>
  </colItems>
  <dataFields count="2">
    <dataField name="Sum of Units_On_Hand" fld="3" baseField="0" baseItem="0"/>
    <dataField name="Sum of Units_Sold_LastLaunch"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A79E98-BDD8-4434-9EEB-8BB30F4A17BE}" autoFormatId="16" applyNumberFormats="0" applyBorderFormats="0" applyFontFormats="0" applyPatternFormats="0" applyAlignmentFormats="0" applyWidthHeightFormats="0">
  <queryTableRefresh nextId="12">
    <queryTableFields count="8">
      <queryTableField id="1" name="SKU" tableColumnId="1"/>
      <queryTableField id="2" name="SKU_name" tableColumnId="2"/>
      <queryTableField id="3" name="Warehouse_Region" tableColumnId="3"/>
      <queryTableField id="4" name="Units_On_Hand" tableColumnId="4"/>
      <queryTableField id="5" name="Units_Sold_LastLaunch" tableColumnId="5"/>
      <queryTableField id="6" name="Month" tableColumnId="6"/>
      <queryTableField id="7" name="Day" tableColumnId="7"/>
      <queryTableField id="8" name="Year"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18D2EB-F35A-4C57-853E-1A32A1084B48}" name="SOL_VASE_14_Raw_Export" displayName="SOL_VASE_14_Raw_Export" ref="A1:H41" tableType="queryTable" totalsRowShown="0">
  <autoFilter ref="A1:H41" xr:uid="{A618D2EB-F35A-4C57-853E-1A32A1084B48}"/>
  <tableColumns count="8">
    <tableColumn id="1" xr3:uid="{A32077F0-FF3A-4BF7-A464-F259DB1F1714}" uniqueName="1" name="SOL-VASE-14" queryTableFieldId="1" dataDxfId="2"/>
    <tableColumn id="2" xr3:uid="{132738BF-818B-4418-800C-FF71D26C7FB6}" uniqueName="2" name="SKU_name" queryTableFieldId="2" dataDxfId="1"/>
    <tableColumn id="3" xr3:uid="{D4876142-0EE6-427B-A6E4-330065CC061B}" uniqueName="3" name="Warehouse_Region" queryTableFieldId="3" dataDxfId="0"/>
    <tableColumn id="4" xr3:uid="{47109F89-7462-47F9-92D5-A5F0EF6E83AE}" uniqueName="4" name="Units_On_Hand" queryTableFieldId="4"/>
    <tableColumn id="5" xr3:uid="{E479C5F8-FA95-4311-97BF-DEC2FF141EA0}" uniqueName="5" name="Units_Sold_LastLaunch" queryTableFieldId="5"/>
    <tableColumn id="6" xr3:uid="{B63DE68E-C0BC-4CA9-BA7C-8310706DBB83}" uniqueName="6" name="Month" queryTableFieldId="6"/>
    <tableColumn id="7" xr3:uid="{F39AC711-35A2-4383-B8AD-69309B625938}" uniqueName="7" name="Day" queryTableFieldId="7"/>
    <tableColumn id="8" xr3:uid="{12B9C3F4-D142-455E-9788-39DD6ABF137F}" uniqueName="8" name="Year"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CA89-D152-431C-B58A-699D0270492B}">
  <dimension ref="A3:E7"/>
  <sheetViews>
    <sheetView workbookViewId="0">
      <selection activeCell="B16" sqref="B16"/>
    </sheetView>
  </sheetViews>
  <sheetFormatPr defaultRowHeight="15" x14ac:dyDescent="0.25"/>
  <cols>
    <col min="1" max="1" width="13.140625" bestFit="1" customWidth="1"/>
    <col min="2" max="2" width="21.85546875" bestFit="1" customWidth="1"/>
    <col min="3" max="3" width="28.28515625" bestFit="1" customWidth="1"/>
    <col min="4" max="4" width="14.85546875" customWidth="1"/>
    <col min="5" max="5" width="23.5703125" customWidth="1"/>
  </cols>
  <sheetData>
    <row r="3" spans="1:5" x14ac:dyDescent="0.25">
      <c r="A3" s="1" t="s">
        <v>16</v>
      </c>
      <c r="B3" t="s">
        <v>15</v>
      </c>
      <c r="C3" t="s">
        <v>18</v>
      </c>
      <c r="D3" s="3" t="s">
        <v>19</v>
      </c>
      <c r="E3" s="3" t="s">
        <v>20</v>
      </c>
    </row>
    <row r="4" spans="1:5" x14ac:dyDescent="0.25">
      <c r="A4" s="2" t="s">
        <v>12</v>
      </c>
      <c r="B4">
        <v>2217</v>
      </c>
      <c r="C4">
        <v>485</v>
      </c>
      <c r="D4">
        <f t="shared" ref="D4:D7" si="0">B4+C4</f>
        <v>2702</v>
      </c>
      <c r="E4">
        <f t="shared" ref="E4:E7" si="1">C4/D4 %</f>
        <v>17.949666913397483</v>
      </c>
    </row>
    <row r="5" spans="1:5" x14ac:dyDescent="0.25">
      <c r="A5" s="2" t="s">
        <v>10</v>
      </c>
      <c r="B5">
        <v>4058</v>
      </c>
      <c r="C5">
        <v>955</v>
      </c>
      <c r="D5">
        <f t="shared" si="0"/>
        <v>5013</v>
      </c>
      <c r="E5">
        <f t="shared" si="1"/>
        <v>19.050468781168959</v>
      </c>
    </row>
    <row r="6" spans="1:5" x14ac:dyDescent="0.25">
      <c r="A6" s="2" t="s">
        <v>11</v>
      </c>
      <c r="B6">
        <v>4608.3999999999996</v>
      </c>
      <c r="C6">
        <v>1540</v>
      </c>
      <c r="D6">
        <f t="shared" si="0"/>
        <v>6148.4</v>
      </c>
      <c r="E6">
        <f t="shared" si="1"/>
        <v>25.047166742567175</v>
      </c>
    </row>
    <row r="7" spans="1:5" x14ac:dyDescent="0.25">
      <c r="A7" s="2" t="s">
        <v>17</v>
      </c>
      <c r="B7">
        <v>10883.4</v>
      </c>
      <c r="C7">
        <v>2980</v>
      </c>
      <c r="D7">
        <f t="shared" si="0"/>
        <v>13863.4</v>
      </c>
      <c r="E7">
        <f t="shared" si="1"/>
        <v>21.495448446989919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D7D3-A129-4FAB-BF22-3578A23ECD7C}">
  <dimension ref="A1:H41"/>
  <sheetViews>
    <sheetView tabSelected="1" workbookViewId="0">
      <selection sqref="A1:XFD1048576"/>
    </sheetView>
  </sheetViews>
  <sheetFormatPr defaultRowHeight="15" x14ac:dyDescent="0.25"/>
  <cols>
    <col min="1" max="1" width="12.28515625" bestFit="1" customWidth="1"/>
    <col min="2" max="2" width="32.85546875" bestFit="1" customWidth="1"/>
    <col min="3" max="3" width="21" bestFit="1" customWidth="1"/>
    <col min="4" max="4" width="17.28515625" bestFit="1" customWidth="1"/>
    <col min="5" max="5" width="23.85546875" bestFit="1" customWidth="1"/>
    <col min="6" max="6" width="9.28515625" bestFit="1" customWidth="1"/>
    <col min="7" max="7" width="6.5703125" bestFit="1" customWidth="1"/>
    <col min="8" max="8" width="7.28515625" bestFit="1" customWidth="1"/>
  </cols>
  <sheetData>
    <row r="1" spans="1:8" x14ac:dyDescent="0.25">
      <c r="A1" t="s">
        <v>8</v>
      </c>
      <c r="B1" t="s">
        <v>1</v>
      </c>
      <c r="C1" t="s">
        <v>2</v>
      </c>
      <c r="D1" t="s">
        <v>3</v>
      </c>
      <c r="E1" t="s">
        <v>4</v>
      </c>
      <c r="F1" t="s">
        <v>5</v>
      </c>
      <c r="G1" t="s">
        <v>6</v>
      </c>
      <c r="H1" t="s">
        <v>7</v>
      </c>
    </row>
    <row r="2" spans="1:8" x14ac:dyDescent="0.25">
      <c r="A2" t="s">
        <v>8</v>
      </c>
      <c r="B2" t="s">
        <v>9</v>
      </c>
      <c r="C2" t="s">
        <v>10</v>
      </c>
      <c r="D2">
        <v>385</v>
      </c>
      <c r="E2">
        <v>137</v>
      </c>
      <c r="F2">
        <v>1</v>
      </c>
      <c r="G2">
        <v>2</v>
      </c>
      <c r="H2">
        <v>2026</v>
      </c>
    </row>
    <row r="3" spans="1:8" x14ac:dyDescent="0.25">
      <c r="A3" t="s">
        <v>8</v>
      </c>
      <c r="B3" t="s">
        <v>9</v>
      </c>
      <c r="C3" t="s">
        <v>11</v>
      </c>
      <c r="D3">
        <v>284</v>
      </c>
      <c r="E3">
        <v>46</v>
      </c>
      <c r="F3">
        <v>1</v>
      </c>
      <c r="G3">
        <v>3</v>
      </c>
      <c r="H3">
        <v>2026</v>
      </c>
    </row>
    <row r="4" spans="1:8" x14ac:dyDescent="0.25">
      <c r="A4" t="s">
        <v>8</v>
      </c>
      <c r="B4" t="s">
        <v>9</v>
      </c>
      <c r="C4" t="s">
        <v>11</v>
      </c>
      <c r="D4">
        <v>429</v>
      </c>
      <c r="E4">
        <v>149</v>
      </c>
      <c r="F4">
        <v>1</v>
      </c>
      <c r="G4">
        <v>3</v>
      </c>
      <c r="H4">
        <v>2026</v>
      </c>
    </row>
    <row r="5" spans="1:8" x14ac:dyDescent="0.25">
      <c r="A5" t="s">
        <v>8</v>
      </c>
      <c r="B5" t="s">
        <v>9</v>
      </c>
      <c r="C5" t="s">
        <v>10</v>
      </c>
      <c r="D5">
        <v>400</v>
      </c>
      <c r="E5">
        <v>93</v>
      </c>
      <c r="F5">
        <v>1</v>
      </c>
      <c r="G5">
        <v>26</v>
      </c>
      <c r="H5">
        <v>2026</v>
      </c>
    </row>
    <row r="6" spans="1:8" x14ac:dyDescent="0.25">
      <c r="A6" t="s">
        <v>8</v>
      </c>
      <c r="B6" t="s">
        <v>9</v>
      </c>
      <c r="C6" t="s">
        <v>12</v>
      </c>
      <c r="D6">
        <v>464</v>
      </c>
      <c r="E6">
        <v>11</v>
      </c>
      <c r="F6">
        <v>1</v>
      </c>
      <c r="G6">
        <v>9</v>
      </c>
      <c r="H6">
        <v>2026</v>
      </c>
    </row>
    <row r="7" spans="1:8" x14ac:dyDescent="0.25">
      <c r="A7" t="s">
        <v>8</v>
      </c>
      <c r="B7" t="s">
        <v>9</v>
      </c>
      <c r="C7" t="s">
        <v>11</v>
      </c>
      <c r="D7">
        <v>498</v>
      </c>
      <c r="E7">
        <v>193</v>
      </c>
      <c r="F7">
        <v>1</v>
      </c>
      <c r="G7">
        <v>1</v>
      </c>
      <c r="H7">
        <v>2026</v>
      </c>
    </row>
    <row r="8" spans="1:8" x14ac:dyDescent="0.25">
      <c r="A8" t="s">
        <v>8</v>
      </c>
      <c r="B8" t="s">
        <v>9</v>
      </c>
      <c r="C8" t="s">
        <v>11</v>
      </c>
      <c r="D8">
        <v>490</v>
      </c>
      <c r="E8">
        <v>12</v>
      </c>
      <c r="F8">
        <v>1</v>
      </c>
      <c r="G8">
        <v>12</v>
      </c>
      <c r="H8">
        <v>2026</v>
      </c>
    </row>
    <row r="9" spans="1:8" x14ac:dyDescent="0.25">
      <c r="A9" t="s">
        <v>8</v>
      </c>
      <c r="B9" t="s">
        <v>9</v>
      </c>
      <c r="C9" t="s">
        <v>12</v>
      </c>
      <c r="D9">
        <v>310</v>
      </c>
      <c r="E9">
        <v>0</v>
      </c>
      <c r="F9">
        <v>1</v>
      </c>
      <c r="G9">
        <v>7</v>
      </c>
      <c r="H9">
        <v>2026</v>
      </c>
    </row>
    <row r="10" spans="1:8" x14ac:dyDescent="0.25">
      <c r="A10" t="s">
        <v>8</v>
      </c>
      <c r="B10" t="s">
        <v>9</v>
      </c>
      <c r="C10" t="s">
        <v>12</v>
      </c>
      <c r="D10">
        <v>162</v>
      </c>
      <c r="E10">
        <v>124</v>
      </c>
      <c r="F10">
        <v>1</v>
      </c>
      <c r="G10">
        <v>8</v>
      </c>
      <c r="H10">
        <v>2026</v>
      </c>
    </row>
    <row r="11" spans="1:8" x14ac:dyDescent="0.25">
      <c r="A11" t="s">
        <v>8</v>
      </c>
      <c r="B11" t="s">
        <v>9</v>
      </c>
      <c r="C11" t="s">
        <v>11</v>
      </c>
      <c r="D11">
        <v>184</v>
      </c>
      <c r="E11">
        <v>0</v>
      </c>
      <c r="F11">
        <v>1</v>
      </c>
      <c r="G11">
        <v>5</v>
      </c>
      <c r="H11">
        <v>2026</v>
      </c>
    </row>
    <row r="12" spans="1:8" x14ac:dyDescent="0.25">
      <c r="A12" t="s">
        <v>8</v>
      </c>
      <c r="B12" t="s">
        <v>9</v>
      </c>
      <c r="C12" t="s">
        <v>10</v>
      </c>
      <c r="D12">
        <v>410</v>
      </c>
      <c r="E12">
        <v>27</v>
      </c>
      <c r="F12">
        <v>1</v>
      </c>
      <c r="G12">
        <v>17</v>
      </c>
      <c r="H12">
        <v>2026</v>
      </c>
    </row>
    <row r="13" spans="1:8" x14ac:dyDescent="0.25">
      <c r="A13" t="s">
        <v>8</v>
      </c>
      <c r="B13" t="s">
        <v>9</v>
      </c>
      <c r="C13" t="s">
        <v>11</v>
      </c>
      <c r="D13">
        <v>166</v>
      </c>
      <c r="E13">
        <v>84</v>
      </c>
      <c r="F13">
        <v>1</v>
      </c>
      <c r="G13">
        <v>18</v>
      </c>
      <c r="H13">
        <v>2026</v>
      </c>
    </row>
    <row r="14" spans="1:8" x14ac:dyDescent="0.25">
      <c r="A14" t="s">
        <v>8</v>
      </c>
      <c r="B14" t="s">
        <v>9</v>
      </c>
      <c r="C14" t="s">
        <v>12</v>
      </c>
      <c r="D14">
        <v>175</v>
      </c>
      <c r="E14">
        <v>0</v>
      </c>
      <c r="F14">
        <v>1</v>
      </c>
      <c r="G14">
        <v>24</v>
      </c>
      <c r="H14">
        <v>2026</v>
      </c>
    </row>
    <row r="15" spans="1:8" x14ac:dyDescent="0.25">
      <c r="A15" t="s">
        <v>8</v>
      </c>
      <c r="B15" t="s">
        <v>9</v>
      </c>
      <c r="C15" t="s">
        <v>10</v>
      </c>
      <c r="D15">
        <v>490</v>
      </c>
      <c r="E15">
        <v>38</v>
      </c>
      <c r="F15">
        <v>1</v>
      </c>
      <c r="G15">
        <v>8</v>
      </c>
      <c r="H15">
        <v>2026</v>
      </c>
    </row>
    <row r="16" spans="1:8" x14ac:dyDescent="0.25">
      <c r="A16" t="s">
        <v>8</v>
      </c>
      <c r="B16" t="s">
        <v>9</v>
      </c>
      <c r="C16" t="s">
        <v>10</v>
      </c>
      <c r="D16">
        <v>493</v>
      </c>
      <c r="E16">
        <v>35</v>
      </c>
      <c r="F16">
        <v>1</v>
      </c>
      <c r="G16">
        <v>19</v>
      </c>
      <c r="H16">
        <v>2026</v>
      </c>
    </row>
    <row r="17" spans="1:8" x14ac:dyDescent="0.25">
      <c r="A17" t="s">
        <v>8</v>
      </c>
      <c r="B17" t="s">
        <v>9</v>
      </c>
      <c r="C17" t="s">
        <v>12</v>
      </c>
      <c r="D17">
        <v>187</v>
      </c>
      <c r="E17">
        <v>26</v>
      </c>
      <c r="F17">
        <v>1</v>
      </c>
      <c r="G17">
        <v>28</v>
      </c>
      <c r="H17">
        <v>2026</v>
      </c>
    </row>
    <row r="18" spans="1:8" x14ac:dyDescent="0.25">
      <c r="A18" t="s">
        <v>8</v>
      </c>
      <c r="B18" t="s">
        <v>9</v>
      </c>
      <c r="C18" t="s">
        <v>11</v>
      </c>
      <c r="D18">
        <v>25.4</v>
      </c>
      <c r="E18">
        <v>102</v>
      </c>
      <c r="F18">
        <v>1</v>
      </c>
      <c r="G18">
        <v>6</v>
      </c>
      <c r="H18">
        <v>2026</v>
      </c>
    </row>
    <row r="19" spans="1:8" x14ac:dyDescent="0.25">
      <c r="A19" t="s">
        <v>8</v>
      </c>
      <c r="B19" t="s">
        <v>9</v>
      </c>
      <c r="C19" t="s">
        <v>12</v>
      </c>
      <c r="D19">
        <v>90</v>
      </c>
      <c r="E19">
        <v>151</v>
      </c>
      <c r="F19">
        <v>1</v>
      </c>
      <c r="G19">
        <v>15</v>
      </c>
      <c r="H19">
        <v>2026</v>
      </c>
    </row>
    <row r="20" spans="1:8" x14ac:dyDescent="0.25">
      <c r="A20" t="s">
        <v>8</v>
      </c>
      <c r="B20" t="s">
        <v>9</v>
      </c>
      <c r="C20" t="s">
        <v>10</v>
      </c>
      <c r="D20">
        <v>244</v>
      </c>
      <c r="E20">
        <v>0</v>
      </c>
      <c r="F20">
        <v>1</v>
      </c>
      <c r="G20">
        <v>12</v>
      </c>
      <c r="H20">
        <v>2026</v>
      </c>
    </row>
    <row r="21" spans="1:8" x14ac:dyDescent="0.25">
      <c r="A21" t="s">
        <v>8</v>
      </c>
      <c r="B21" t="s">
        <v>9</v>
      </c>
      <c r="C21" t="s">
        <v>11</v>
      </c>
      <c r="D21">
        <v>186</v>
      </c>
      <c r="E21">
        <v>189</v>
      </c>
      <c r="F21">
        <v>1</v>
      </c>
      <c r="G21">
        <v>22</v>
      </c>
      <c r="H21">
        <v>2026</v>
      </c>
    </row>
    <row r="22" spans="1:8" x14ac:dyDescent="0.25">
      <c r="A22" t="s">
        <v>8</v>
      </c>
      <c r="B22" t="s">
        <v>9</v>
      </c>
      <c r="C22" t="s">
        <v>12</v>
      </c>
      <c r="D22">
        <v>359</v>
      </c>
      <c r="E22">
        <v>0</v>
      </c>
      <c r="F22">
        <v>1</v>
      </c>
      <c r="G22">
        <v>13</v>
      </c>
      <c r="H22">
        <v>2026</v>
      </c>
    </row>
    <row r="23" spans="1:8" x14ac:dyDescent="0.25">
      <c r="A23" t="s">
        <v>8</v>
      </c>
      <c r="B23" t="s">
        <v>9</v>
      </c>
      <c r="C23" t="s">
        <v>10</v>
      </c>
      <c r="D23">
        <v>266</v>
      </c>
      <c r="E23">
        <v>97</v>
      </c>
      <c r="F23">
        <v>1</v>
      </c>
      <c r="G23">
        <v>10</v>
      </c>
      <c r="H23">
        <v>2026</v>
      </c>
    </row>
    <row r="24" spans="1:8" x14ac:dyDescent="0.25">
      <c r="A24" t="s">
        <v>8</v>
      </c>
      <c r="B24" t="s">
        <v>9</v>
      </c>
      <c r="C24" t="s">
        <v>10</v>
      </c>
      <c r="D24">
        <v>470</v>
      </c>
      <c r="E24">
        <v>18</v>
      </c>
      <c r="F24">
        <v>1</v>
      </c>
      <c r="G24">
        <v>27</v>
      </c>
      <c r="H24">
        <v>2026</v>
      </c>
    </row>
    <row r="25" spans="1:8" x14ac:dyDescent="0.25">
      <c r="A25" t="s">
        <v>8</v>
      </c>
      <c r="B25" t="s">
        <v>9</v>
      </c>
      <c r="C25" t="s">
        <v>11</v>
      </c>
      <c r="D25">
        <v>382</v>
      </c>
      <c r="E25">
        <v>0</v>
      </c>
      <c r="F25">
        <v>1</v>
      </c>
      <c r="G25">
        <v>7</v>
      </c>
      <c r="H25">
        <v>2026</v>
      </c>
    </row>
    <row r="26" spans="1:8" x14ac:dyDescent="0.25">
      <c r="A26" t="s">
        <v>8</v>
      </c>
      <c r="B26" t="s">
        <v>9</v>
      </c>
      <c r="C26" t="s">
        <v>11</v>
      </c>
      <c r="D26">
        <v>375</v>
      </c>
      <c r="E26">
        <v>53</v>
      </c>
      <c r="F26">
        <v>1</v>
      </c>
      <c r="G26">
        <v>23</v>
      </c>
      <c r="H26">
        <v>2026</v>
      </c>
    </row>
    <row r="27" spans="1:8" x14ac:dyDescent="0.25">
      <c r="A27" t="s">
        <v>8</v>
      </c>
      <c r="B27" t="s">
        <v>9</v>
      </c>
      <c r="C27" t="s">
        <v>11</v>
      </c>
      <c r="D27">
        <v>107</v>
      </c>
      <c r="E27">
        <v>0</v>
      </c>
      <c r="F27">
        <v>1</v>
      </c>
      <c r="G27">
        <v>1</v>
      </c>
      <c r="H27">
        <v>2026</v>
      </c>
    </row>
    <row r="28" spans="1:8" x14ac:dyDescent="0.25">
      <c r="A28" t="s">
        <v>8</v>
      </c>
      <c r="B28" t="s">
        <v>9</v>
      </c>
      <c r="C28" t="s">
        <v>12</v>
      </c>
      <c r="D28">
        <v>188</v>
      </c>
      <c r="E28">
        <v>173</v>
      </c>
      <c r="F28">
        <v>1</v>
      </c>
      <c r="G28">
        <v>25</v>
      </c>
      <c r="H28">
        <v>2026</v>
      </c>
    </row>
    <row r="29" spans="1:8" x14ac:dyDescent="0.25">
      <c r="A29" t="s">
        <v>8</v>
      </c>
      <c r="B29" t="s">
        <v>9</v>
      </c>
      <c r="C29" t="s">
        <v>11</v>
      </c>
      <c r="D29">
        <v>285</v>
      </c>
      <c r="E29">
        <v>147</v>
      </c>
      <c r="F29">
        <v>1</v>
      </c>
      <c r="G29">
        <v>14</v>
      </c>
      <c r="H29">
        <v>2026</v>
      </c>
    </row>
    <row r="30" spans="1:8" x14ac:dyDescent="0.25">
      <c r="A30" t="s">
        <v>8</v>
      </c>
      <c r="B30" t="s">
        <v>9</v>
      </c>
      <c r="C30" t="s">
        <v>10</v>
      </c>
      <c r="D30">
        <v>160</v>
      </c>
      <c r="E30">
        <v>96</v>
      </c>
      <c r="F30">
        <v>1</v>
      </c>
      <c r="G30">
        <v>11</v>
      </c>
      <c r="H30">
        <v>2026</v>
      </c>
    </row>
    <row r="31" spans="1:8" x14ac:dyDescent="0.25">
      <c r="A31" t="s">
        <v>8</v>
      </c>
      <c r="B31" t="s">
        <v>9</v>
      </c>
      <c r="C31" t="s">
        <v>11</v>
      </c>
      <c r="D31">
        <v>82</v>
      </c>
      <c r="E31">
        <v>108</v>
      </c>
      <c r="F31">
        <v>1</v>
      </c>
      <c r="G31">
        <v>10</v>
      </c>
      <c r="H31">
        <v>2026</v>
      </c>
    </row>
    <row r="32" spans="1:8" x14ac:dyDescent="0.25">
      <c r="A32" t="s">
        <v>8</v>
      </c>
      <c r="B32" t="s">
        <v>9</v>
      </c>
      <c r="C32" t="s">
        <v>10</v>
      </c>
      <c r="D32">
        <v>161</v>
      </c>
      <c r="E32">
        <v>69</v>
      </c>
      <c r="F32">
        <v>1</v>
      </c>
      <c r="G32">
        <v>5</v>
      </c>
      <c r="H32">
        <v>2026</v>
      </c>
    </row>
    <row r="33" spans="1:8" x14ac:dyDescent="0.25">
      <c r="A33" t="s">
        <v>8</v>
      </c>
      <c r="B33" t="s">
        <v>9</v>
      </c>
      <c r="C33" t="s">
        <v>11</v>
      </c>
      <c r="D33">
        <v>63</v>
      </c>
      <c r="E33">
        <v>153</v>
      </c>
      <c r="F33">
        <v>1</v>
      </c>
      <c r="G33">
        <v>6</v>
      </c>
      <c r="H33">
        <v>2026</v>
      </c>
    </row>
    <row r="34" spans="1:8" x14ac:dyDescent="0.25">
      <c r="A34" t="s">
        <v>8</v>
      </c>
      <c r="B34" t="s">
        <v>9</v>
      </c>
      <c r="C34" t="s">
        <v>11</v>
      </c>
      <c r="D34">
        <v>131</v>
      </c>
      <c r="E34">
        <v>184</v>
      </c>
      <c r="F34">
        <v>1</v>
      </c>
      <c r="G34">
        <v>9</v>
      </c>
      <c r="H34">
        <v>2026</v>
      </c>
    </row>
    <row r="35" spans="1:8" x14ac:dyDescent="0.25">
      <c r="A35" t="s">
        <v>8</v>
      </c>
      <c r="B35" t="s">
        <v>9</v>
      </c>
      <c r="C35" t="s">
        <v>11</v>
      </c>
      <c r="D35">
        <v>266</v>
      </c>
      <c r="E35">
        <v>18</v>
      </c>
      <c r="F35">
        <v>1</v>
      </c>
      <c r="G35">
        <v>4</v>
      </c>
      <c r="H35">
        <v>2026</v>
      </c>
    </row>
    <row r="36" spans="1:8" x14ac:dyDescent="0.25">
      <c r="A36" t="s">
        <v>8</v>
      </c>
      <c r="B36" t="s">
        <v>9</v>
      </c>
      <c r="C36" t="s">
        <v>11</v>
      </c>
      <c r="D36">
        <v>366</v>
      </c>
      <c r="E36">
        <v>102</v>
      </c>
      <c r="F36">
        <v>1</v>
      </c>
      <c r="G36">
        <v>16</v>
      </c>
      <c r="H36">
        <v>2026</v>
      </c>
    </row>
    <row r="37" spans="1:8" x14ac:dyDescent="0.25">
      <c r="A37" t="s">
        <v>8</v>
      </c>
      <c r="B37" t="s">
        <v>9</v>
      </c>
      <c r="C37" t="s">
        <v>12</v>
      </c>
      <c r="D37">
        <v>282</v>
      </c>
      <c r="E37">
        <v>0</v>
      </c>
      <c r="F37">
        <v>1</v>
      </c>
      <c r="G37">
        <v>20</v>
      </c>
      <c r="H37">
        <v>2026</v>
      </c>
    </row>
    <row r="38" spans="1:8" x14ac:dyDescent="0.25">
      <c r="A38" t="s">
        <v>8</v>
      </c>
      <c r="B38" t="s">
        <v>9</v>
      </c>
      <c r="C38" t="s">
        <v>10</v>
      </c>
      <c r="D38">
        <v>164</v>
      </c>
      <c r="E38">
        <v>45</v>
      </c>
      <c r="F38">
        <v>1</v>
      </c>
      <c r="G38">
        <v>2</v>
      </c>
      <c r="H38">
        <v>2026</v>
      </c>
    </row>
    <row r="39" spans="1:8" x14ac:dyDescent="0.25">
      <c r="A39" t="s">
        <v>8</v>
      </c>
      <c r="B39" t="s">
        <v>9</v>
      </c>
      <c r="C39" t="s">
        <v>10</v>
      </c>
      <c r="D39">
        <v>176</v>
      </c>
      <c r="E39">
        <v>200</v>
      </c>
      <c r="F39">
        <v>1</v>
      </c>
      <c r="G39">
        <v>4</v>
      </c>
      <c r="H39">
        <v>2026</v>
      </c>
    </row>
    <row r="40" spans="1:8" x14ac:dyDescent="0.25">
      <c r="A40" t="s">
        <v>8</v>
      </c>
      <c r="B40" t="s">
        <v>9</v>
      </c>
      <c r="C40" t="s">
        <v>10</v>
      </c>
      <c r="D40">
        <v>239</v>
      </c>
      <c r="E40">
        <v>100</v>
      </c>
      <c r="F40">
        <v>1</v>
      </c>
      <c r="G40">
        <v>21</v>
      </c>
      <c r="H40">
        <v>2026</v>
      </c>
    </row>
    <row r="41" spans="1:8" x14ac:dyDescent="0.25">
      <c r="A41" t="s">
        <v>8</v>
      </c>
      <c r="B41" t="s">
        <v>9</v>
      </c>
      <c r="C41" t="s">
        <v>11</v>
      </c>
      <c r="D41">
        <v>289</v>
      </c>
      <c r="E41">
        <v>0</v>
      </c>
      <c r="F41">
        <v>1</v>
      </c>
      <c r="G41">
        <v>11</v>
      </c>
      <c r="H41">
        <v>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49BB-9D97-46ED-86D0-D37C23A73CD6}">
  <dimension ref="A1:C30"/>
  <sheetViews>
    <sheetView workbookViewId="0">
      <selection activeCell="S12" sqref="S12"/>
    </sheetView>
  </sheetViews>
  <sheetFormatPr defaultRowHeight="15" x14ac:dyDescent="0.25"/>
  <sheetData>
    <row r="1" spans="1:3" ht="31.5" x14ac:dyDescent="0.25">
      <c r="A1" s="10" t="s">
        <v>29</v>
      </c>
    </row>
    <row r="3" spans="1:3" x14ac:dyDescent="0.25">
      <c r="A3" s="3" t="s">
        <v>30</v>
      </c>
    </row>
    <row r="5" spans="1:3" ht="23.25" x14ac:dyDescent="0.25">
      <c r="A5" s="5" t="s">
        <v>32</v>
      </c>
    </row>
    <row r="7" spans="1:3" x14ac:dyDescent="0.25">
      <c r="A7" t="s">
        <v>33</v>
      </c>
    </row>
    <row r="9" spans="1:3" ht="23.25" x14ac:dyDescent="0.25">
      <c r="A9" s="5" t="s">
        <v>34</v>
      </c>
    </row>
    <row r="11" spans="1:3" ht="30" x14ac:dyDescent="0.25">
      <c r="A11" s="6" t="s">
        <v>31</v>
      </c>
      <c r="B11" s="6" t="s">
        <v>35</v>
      </c>
      <c r="C11" s="6" t="s">
        <v>36</v>
      </c>
    </row>
    <row r="12" spans="1:3" x14ac:dyDescent="0.25">
      <c r="A12" s="7" t="s">
        <v>12</v>
      </c>
      <c r="B12" s="8">
        <v>2217</v>
      </c>
      <c r="C12" s="7">
        <v>485</v>
      </c>
    </row>
    <row r="13" spans="1:3" x14ac:dyDescent="0.25">
      <c r="A13" s="7" t="s">
        <v>10</v>
      </c>
      <c r="B13" s="8">
        <v>4058</v>
      </c>
      <c r="C13" s="7">
        <v>955</v>
      </c>
    </row>
    <row r="14" spans="1:3" ht="30" x14ac:dyDescent="0.25">
      <c r="A14" s="7" t="s">
        <v>37</v>
      </c>
      <c r="B14" s="9">
        <v>4608.3999999999996</v>
      </c>
      <c r="C14" s="8">
        <v>1540</v>
      </c>
    </row>
    <row r="16" spans="1:3" ht="23.25" x14ac:dyDescent="0.25">
      <c r="A16" s="5" t="s">
        <v>38</v>
      </c>
    </row>
    <row r="18" spans="1:1" x14ac:dyDescent="0.25">
      <c r="A18" t="s">
        <v>39</v>
      </c>
    </row>
    <row r="20" spans="1:1" ht="23.25" x14ac:dyDescent="0.25">
      <c r="A20" s="5" t="s">
        <v>40</v>
      </c>
    </row>
    <row r="22" spans="1:1" x14ac:dyDescent="0.25">
      <c r="A22" t="s">
        <v>41</v>
      </c>
    </row>
    <row r="24" spans="1:1" ht="23.25" x14ac:dyDescent="0.25">
      <c r="A24" s="5" t="s">
        <v>42</v>
      </c>
    </row>
    <row r="26" spans="1:1" x14ac:dyDescent="0.25">
      <c r="A26" t="s">
        <v>43</v>
      </c>
    </row>
    <row r="28" spans="1:1" ht="23.25" x14ac:dyDescent="0.25">
      <c r="A28" s="5" t="s">
        <v>44</v>
      </c>
    </row>
    <row r="30" spans="1:1" x14ac:dyDescent="0.25">
      <c r="A30"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A5D-FDB9-414E-A2DB-8730618EE64B}">
  <dimension ref="A1:F56"/>
  <sheetViews>
    <sheetView workbookViewId="0">
      <selection activeCell="I21" sqref="I21"/>
    </sheetView>
  </sheetViews>
  <sheetFormatPr defaultRowHeight="15" x14ac:dyDescent="0.25"/>
  <cols>
    <col min="1" max="1" width="15.140625" customWidth="1"/>
    <col min="2" max="2" width="23.7109375" customWidth="1"/>
    <col min="3" max="3" width="17.5703125" customWidth="1"/>
    <col min="5" max="5" width="16.85546875" customWidth="1"/>
    <col min="6" max="6" width="17" customWidth="1"/>
  </cols>
  <sheetData>
    <row r="1" spans="1:6" x14ac:dyDescent="0.25">
      <c r="A1" t="s">
        <v>0</v>
      </c>
      <c r="B1" t="s">
        <v>1</v>
      </c>
      <c r="C1" t="s">
        <v>2</v>
      </c>
      <c r="D1" t="s">
        <v>3</v>
      </c>
      <c r="E1" t="s">
        <v>4</v>
      </c>
      <c r="F1" t="s">
        <v>21</v>
      </c>
    </row>
    <row r="2" spans="1:6" x14ac:dyDescent="0.25">
      <c r="A2" t="s">
        <v>8</v>
      </c>
      <c r="B2" t="s">
        <v>9</v>
      </c>
      <c r="C2" t="s">
        <v>10</v>
      </c>
      <c r="D2">
        <v>385</v>
      </c>
      <c r="E2">
        <v>137</v>
      </c>
      <c r="F2" s="4">
        <v>46024</v>
      </c>
    </row>
    <row r="3" spans="1:6" x14ac:dyDescent="0.25">
      <c r="A3" t="s">
        <v>8</v>
      </c>
      <c r="B3" t="s">
        <v>22</v>
      </c>
      <c r="C3" t="s">
        <v>23</v>
      </c>
      <c r="D3">
        <v>284</v>
      </c>
      <c r="E3">
        <v>46</v>
      </c>
      <c r="F3" s="4">
        <v>46025</v>
      </c>
    </row>
    <row r="4" spans="1:6" x14ac:dyDescent="0.25">
      <c r="A4" t="s">
        <v>8</v>
      </c>
      <c r="B4" t="s">
        <v>24</v>
      </c>
      <c r="C4" t="s">
        <v>25</v>
      </c>
      <c r="D4">
        <v>429</v>
      </c>
      <c r="E4">
        <v>149</v>
      </c>
      <c r="F4" s="4">
        <v>46025</v>
      </c>
    </row>
    <row r="5" spans="1:6" x14ac:dyDescent="0.25">
      <c r="A5" t="s">
        <v>8</v>
      </c>
      <c r="B5" t="s">
        <v>24</v>
      </c>
      <c r="C5" t="s">
        <v>10</v>
      </c>
      <c r="D5">
        <v>400</v>
      </c>
      <c r="E5">
        <v>93</v>
      </c>
      <c r="F5" s="4">
        <v>46048</v>
      </c>
    </row>
    <row r="6" spans="1:6" x14ac:dyDescent="0.25">
      <c r="A6" t="s">
        <v>8</v>
      </c>
      <c r="B6" t="s">
        <v>8</v>
      </c>
      <c r="C6" t="s">
        <v>12</v>
      </c>
      <c r="D6">
        <v>464</v>
      </c>
      <c r="E6">
        <v>11</v>
      </c>
      <c r="F6" s="4">
        <v>46031</v>
      </c>
    </row>
    <row r="7" spans="1:6" x14ac:dyDescent="0.25">
      <c r="A7" t="s">
        <v>8</v>
      </c>
      <c r="B7" t="s">
        <v>22</v>
      </c>
      <c r="C7" t="s">
        <v>25</v>
      </c>
      <c r="D7">
        <v>498</v>
      </c>
      <c r="E7">
        <v>193</v>
      </c>
      <c r="F7" s="4">
        <v>46023</v>
      </c>
    </row>
    <row r="8" spans="1:6" x14ac:dyDescent="0.25">
      <c r="A8" t="s">
        <v>8</v>
      </c>
      <c r="B8" t="s">
        <v>24</v>
      </c>
      <c r="C8" t="s">
        <v>25</v>
      </c>
      <c r="D8">
        <v>490</v>
      </c>
      <c r="E8">
        <v>12</v>
      </c>
      <c r="F8" s="4">
        <v>46034</v>
      </c>
    </row>
    <row r="9" spans="1:6" x14ac:dyDescent="0.25">
      <c r="A9" t="s">
        <v>8</v>
      </c>
      <c r="B9" t="s">
        <v>24</v>
      </c>
      <c r="C9" t="s">
        <v>13</v>
      </c>
      <c r="D9">
        <v>310</v>
      </c>
      <c r="F9" s="4">
        <v>46029</v>
      </c>
    </row>
    <row r="10" spans="1:6" x14ac:dyDescent="0.25">
      <c r="A10" t="s">
        <v>8</v>
      </c>
      <c r="B10" t="s">
        <v>26</v>
      </c>
      <c r="C10" t="s">
        <v>12</v>
      </c>
      <c r="D10">
        <v>162</v>
      </c>
      <c r="E10">
        <v>124</v>
      </c>
      <c r="F10" s="4">
        <v>46030</v>
      </c>
    </row>
    <row r="11" spans="1:6" x14ac:dyDescent="0.25">
      <c r="A11" t="s">
        <v>8</v>
      </c>
      <c r="B11" t="s">
        <v>9</v>
      </c>
      <c r="C11" t="s">
        <v>25</v>
      </c>
      <c r="D11">
        <v>184</v>
      </c>
      <c r="F11" s="4">
        <v>46027</v>
      </c>
    </row>
    <row r="12" spans="1:6" x14ac:dyDescent="0.25">
      <c r="A12" t="s">
        <v>8</v>
      </c>
      <c r="B12" t="s">
        <v>24</v>
      </c>
      <c r="C12" t="s">
        <v>10</v>
      </c>
      <c r="D12">
        <v>410</v>
      </c>
      <c r="E12">
        <v>27</v>
      </c>
      <c r="F12" s="4">
        <v>46039</v>
      </c>
    </row>
    <row r="13" spans="1:6" x14ac:dyDescent="0.25">
      <c r="A13" t="s">
        <v>8</v>
      </c>
      <c r="B13" t="s">
        <v>24</v>
      </c>
      <c r="C13" t="s">
        <v>25</v>
      </c>
      <c r="D13">
        <v>166</v>
      </c>
      <c r="E13">
        <v>84</v>
      </c>
      <c r="F13" s="4">
        <v>46040</v>
      </c>
    </row>
    <row r="14" spans="1:6" x14ac:dyDescent="0.25">
      <c r="A14" t="s">
        <v>8</v>
      </c>
      <c r="B14" t="s">
        <v>9</v>
      </c>
      <c r="C14" t="s">
        <v>27</v>
      </c>
      <c r="D14">
        <v>175</v>
      </c>
      <c r="F14" s="4">
        <v>46046</v>
      </c>
    </row>
    <row r="15" spans="1:6" x14ac:dyDescent="0.25">
      <c r="A15" t="s">
        <v>8</v>
      </c>
      <c r="B15" t="s">
        <v>8</v>
      </c>
      <c r="C15" t="s">
        <v>10</v>
      </c>
      <c r="D15">
        <v>490</v>
      </c>
      <c r="E15">
        <v>38</v>
      </c>
      <c r="F15" s="4">
        <v>46030</v>
      </c>
    </row>
    <row r="16" spans="1:6" x14ac:dyDescent="0.25">
      <c r="A16" t="s">
        <v>8</v>
      </c>
      <c r="B16" t="s">
        <v>9</v>
      </c>
      <c r="C16" t="s">
        <v>10</v>
      </c>
      <c r="D16">
        <v>493</v>
      </c>
      <c r="E16">
        <v>35</v>
      </c>
      <c r="F16" s="4">
        <v>46041</v>
      </c>
    </row>
    <row r="17" spans="1:6" x14ac:dyDescent="0.25">
      <c r="A17" t="s">
        <v>8</v>
      </c>
      <c r="B17" t="s">
        <v>8</v>
      </c>
      <c r="C17" t="s">
        <v>12</v>
      </c>
      <c r="D17">
        <v>187</v>
      </c>
      <c r="E17">
        <v>26</v>
      </c>
      <c r="F17" s="4">
        <v>46050</v>
      </c>
    </row>
    <row r="18" spans="1:6" x14ac:dyDescent="0.25">
      <c r="A18" t="s">
        <v>8</v>
      </c>
      <c r="B18" t="s">
        <v>9</v>
      </c>
      <c r="C18" t="s">
        <v>10</v>
      </c>
      <c r="D18">
        <v>493</v>
      </c>
      <c r="E18">
        <v>35</v>
      </c>
      <c r="F18" s="4">
        <v>46041</v>
      </c>
    </row>
    <row r="19" spans="1:6" x14ac:dyDescent="0.25">
      <c r="A19" t="s">
        <v>8</v>
      </c>
      <c r="B19" t="s">
        <v>8</v>
      </c>
      <c r="C19" t="s">
        <v>25</v>
      </c>
      <c r="D19">
        <v>25.4</v>
      </c>
      <c r="E19">
        <v>102</v>
      </c>
      <c r="F19" s="4">
        <v>46028</v>
      </c>
    </row>
    <row r="20" spans="1:6" x14ac:dyDescent="0.25">
      <c r="A20" t="s">
        <v>8</v>
      </c>
      <c r="B20" t="s">
        <v>22</v>
      </c>
      <c r="C20" t="s">
        <v>12</v>
      </c>
      <c r="D20">
        <v>90</v>
      </c>
      <c r="E20">
        <v>151</v>
      </c>
      <c r="F20" s="4">
        <v>46037</v>
      </c>
    </row>
    <row r="21" spans="1:6" x14ac:dyDescent="0.25">
      <c r="A21" t="s">
        <v>8</v>
      </c>
      <c r="B21" t="s">
        <v>22</v>
      </c>
      <c r="C21" t="s">
        <v>10</v>
      </c>
      <c r="D21">
        <v>244</v>
      </c>
      <c r="F21" s="4">
        <v>46034</v>
      </c>
    </row>
    <row r="22" spans="1:6" x14ac:dyDescent="0.25">
      <c r="A22" t="s">
        <v>8</v>
      </c>
      <c r="B22" t="s">
        <v>9</v>
      </c>
      <c r="C22" t="s">
        <v>25</v>
      </c>
      <c r="D22">
        <v>184</v>
      </c>
      <c r="F22" s="4">
        <v>46027</v>
      </c>
    </row>
    <row r="23" spans="1:6" x14ac:dyDescent="0.25">
      <c r="A23" t="s">
        <v>8</v>
      </c>
      <c r="B23" t="s">
        <v>24</v>
      </c>
      <c r="C23" t="s">
        <v>25</v>
      </c>
      <c r="D23">
        <v>186</v>
      </c>
      <c r="E23">
        <v>189</v>
      </c>
      <c r="F23" s="4">
        <v>46044</v>
      </c>
    </row>
    <row r="24" spans="1:6" x14ac:dyDescent="0.25">
      <c r="A24" t="s">
        <v>8</v>
      </c>
      <c r="B24" t="s">
        <v>24</v>
      </c>
      <c r="C24" t="s">
        <v>12</v>
      </c>
      <c r="D24">
        <v>359</v>
      </c>
      <c r="F24" s="4">
        <v>46035</v>
      </c>
    </row>
    <row r="25" spans="1:6" x14ac:dyDescent="0.25">
      <c r="A25" t="s">
        <v>8</v>
      </c>
      <c r="B25" t="s">
        <v>22</v>
      </c>
      <c r="C25" t="s">
        <v>28</v>
      </c>
      <c r="D25">
        <v>266</v>
      </c>
      <c r="E25">
        <v>97</v>
      </c>
      <c r="F25" s="4">
        <v>46032</v>
      </c>
    </row>
    <row r="26" spans="1:6" x14ac:dyDescent="0.25">
      <c r="A26" t="s">
        <v>8</v>
      </c>
      <c r="B26" t="s">
        <v>22</v>
      </c>
      <c r="C26" t="s">
        <v>10</v>
      </c>
      <c r="D26">
        <v>470</v>
      </c>
      <c r="E26">
        <v>18</v>
      </c>
      <c r="F26" s="4">
        <v>46049</v>
      </c>
    </row>
    <row r="27" spans="1:6" x14ac:dyDescent="0.25">
      <c r="A27" t="s">
        <v>8</v>
      </c>
      <c r="B27" t="s">
        <v>26</v>
      </c>
      <c r="C27" t="s">
        <v>25</v>
      </c>
      <c r="D27">
        <v>382</v>
      </c>
      <c r="F27" s="4">
        <v>46029</v>
      </c>
    </row>
    <row r="28" spans="1:6" x14ac:dyDescent="0.25">
      <c r="A28" t="s">
        <v>8</v>
      </c>
      <c r="B28" t="s">
        <v>26</v>
      </c>
      <c r="C28" t="s">
        <v>25</v>
      </c>
      <c r="D28">
        <v>375</v>
      </c>
      <c r="E28">
        <v>53</v>
      </c>
      <c r="F28" s="4">
        <v>46045</v>
      </c>
    </row>
    <row r="29" spans="1:6" x14ac:dyDescent="0.25">
      <c r="A29" t="s">
        <v>8</v>
      </c>
      <c r="B29" t="s">
        <v>22</v>
      </c>
      <c r="C29" t="s">
        <v>11</v>
      </c>
      <c r="D29">
        <v>107</v>
      </c>
      <c r="F29" s="4">
        <v>46023</v>
      </c>
    </row>
    <row r="30" spans="1:6" x14ac:dyDescent="0.25">
      <c r="A30" t="s">
        <v>8</v>
      </c>
      <c r="B30" t="s">
        <v>26</v>
      </c>
      <c r="C30" t="s">
        <v>12</v>
      </c>
      <c r="D30">
        <v>188</v>
      </c>
      <c r="E30">
        <v>173</v>
      </c>
      <c r="F30" s="4">
        <v>46047</v>
      </c>
    </row>
    <row r="31" spans="1:6" x14ac:dyDescent="0.25">
      <c r="A31" t="s">
        <v>8</v>
      </c>
      <c r="B31" t="s">
        <v>24</v>
      </c>
      <c r="C31" t="s">
        <v>25</v>
      </c>
      <c r="D31">
        <v>166</v>
      </c>
      <c r="E31">
        <v>84</v>
      </c>
      <c r="F31" s="4">
        <v>46040</v>
      </c>
    </row>
    <row r="32" spans="1:6" x14ac:dyDescent="0.25">
      <c r="A32" t="s">
        <v>8</v>
      </c>
      <c r="B32" t="s">
        <v>9</v>
      </c>
      <c r="C32" t="s">
        <v>10</v>
      </c>
      <c r="D32">
        <v>385</v>
      </c>
      <c r="E32">
        <v>137</v>
      </c>
      <c r="F32" s="4">
        <v>46024</v>
      </c>
    </row>
    <row r="33" spans="1:6" x14ac:dyDescent="0.25">
      <c r="A33" t="s">
        <v>8</v>
      </c>
      <c r="B33" t="s">
        <v>24</v>
      </c>
      <c r="C33" t="s">
        <v>25</v>
      </c>
      <c r="D33">
        <v>285</v>
      </c>
      <c r="E33">
        <v>147</v>
      </c>
      <c r="F33" s="4">
        <v>46036</v>
      </c>
    </row>
    <row r="34" spans="1:6" x14ac:dyDescent="0.25">
      <c r="A34" t="s">
        <v>8</v>
      </c>
      <c r="B34" t="s">
        <v>8</v>
      </c>
      <c r="C34" t="s">
        <v>12</v>
      </c>
      <c r="D34">
        <v>187</v>
      </c>
      <c r="E34">
        <v>26</v>
      </c>
      <c r="F34" s="4">
        <v>46050</v>
      </c>
    </row>
    <row r="35" spans="1:6" x14ac:dyDescent="0.25">
      <c r="A35" t="s">
        <v>8</v>
      </c>
      <c r="B35" t="s">
        <v>24</v>
      </c>
      <c r="C35" t="s">
        <v>10</v>
      </c>
      <c r="D35">
        <v>410</v>
      </c>
      <c r="E35">
        <v>27</v>
      </c>
      <c r="F35" s="4">
        <v>46039</v>
      </c>
    </row>
    <row r="36" spans="1:6" x14ac:dyDescent="0.25">
      <c r="A36" t="s">
        <v>8</v>
      </c>
      <c r="B36" t="s">
        <v>24</v>
      </c>
      <c r="C36" t="s">
        <v>14</v>
      </c>
      <c r="D36">
        <v>160</v>
      </c>
      <c r="E36">
        <v>96</v>
      </c>
      <c r="F36" s="4">
        <v>46033</v>
      </c>
    </row>
    <row r="37" spans="1:6" x14ac:dyDescent="0.25">
      <c r="A37" t="s">
        <v>8</v>
      </c>
      <c r="B37" t="s">
        <v>22</v>
      </c>
      <c r="C37" t="s">
        <v>23</v>
      </c>
      <c r="D37">
        <v>284</v>
      </c>
      <c r="E37">
        <v>46</v>
      </c>
      <c r="F37" s="4">
        <v>46025</v>
      </c>
    </row>
    <row r="38" spans="1:6" x14ac:dyDescent="0.25">
      <c r="A38" t="s">
        <v>8</v>
      </c>
      <c r="B38" t="s">
        <v>9</v>
      </c>
      <c r="C38" t="s">
        <v>25</v>
      </c>
      <c r="D38">
        <v>82</v>
      </c>
      <c r="E38">
        <v>108</v>
      </c>
      <c r="F38" s="4">
        <v>46032</v>
      </c>
    </row>
    <row r="39" spans="1:6" x14ac:dyDescent="0.25">
      <c r="A39" t="s">
        <v>8</v>
      </c>
      <c r="B39" t="s">
        <v>8</v>
      </c>
      <c r="C39" t="s">
        <v>12</v>
      </c>
      <c r="D39">
        <v>464</v>
      </c>
      <c r="E39">
        <v>11</v>
      </c>
      <c r="F39" s="4">
        <v>46031</v>
      </c>
    </row>
    <row r="40" spans="1:6" x14ac:dyDescent="0.25">
      <c r="A40" t="s">
        <v>8</v>
      </c>
      <c r="B40" t="s">
        <v>24</v>
      </c>
      <c r="C40" t="s">
        <v>13</v>
      </c>
      <c r="D40">
        <v>310</v>
      </c>
      <c r="F40" s="4">
        <v>46029</v>
      </c>
    </row>
    <row r="41" spans="1:6" x14ac:dyDescent="0.25">
      <c r="A41" t="s">
        <v>8</v>
      </c>
      <c r="B41" t="s">
        <v>26</v>
      </c>
      <c r="C41" t="s">
        <v>10</v>
      </c>
      <c r="D41">
        <v>161</v>
      </c>
      <c r="E41">
        <v>69</v>
      </c>
      <c r="F41" s="4">
        <v>46027</v>
      </c>
    </row>
    <row r="42" spans="1:6" x14ac:dyDescent="0.25">
      <c r="A42" t="s">
        <v>8</v>
      </c>
      <c r="B42" t="s">
        <v>22</v>
      </c>
      <c r="C42" t="s">
        <v>25</v>
      </c>
      <c r="D42">
        <v>498</v>
      </c>
      <c r="E42">
        <v>193</v>
      </c>
      <c r="F42" s="4">
        <v>46023</v>
      </c>
    </row>
    <row r="43" spans="1:6" x14ac:dyDescent="0.25">
      <c r="A43" t="s">
        <v>8</v>
      </c>
      <c r="B43" t="s">
        <v>24</v>
      </c>
      <c r="C43" t="s">
        <v>25</v>
      </c>
      <c r="D43">
        <v>186</v>
      </c>
      <c r="E43">
        <v>189</v>
      </c>
      <c r="F43" s="4">
        <v>46044</v>
      </c>
    </row>
    <row r="44" spans="1:6" x14ac:dyDescent="0.25">
      <c r="A44" t="s">
        <v>8</v>
      </c>
      <c r="B44" t="s">
        <v>8</v>
      </c>
      <c r="C44" t="s">
        <v>25</v>
      </c>
      <c r="D44">
        <v>63</v>
      </c>
      <c r="E44">
        <v>153</v>
      </c>
      <c r="F44" s="4">
        <v>46028</v>
      </c>
    </row>
    <row r="45" spans="1:6" x14ac:dyDescent="0.25">
      <c r="A45" t="s">
        <v>8</v>
      </c>
      <c r="B45" t="s">
        <v>9</v>
      </c>
      <c r="C45" t="s">
        <v>25</v>
      </c>
      <c r="D45">
        <v>131</v>
      </c>
      <c r="E45">
        <v>184</v>
      </c>
      <c r="F45" s="4">
        <v>46031</v>
      </c>
    </row>
    <row r="46" spans="1:6" x14ac:dyDescent="0.25">
      <c r="A46" t="s">
        <v>8</v>
      </c>
      <c r="B46" t="s">
        <v>24</v>
      </c>
      <c r="C46" t="s">
        <v>14</v>
      </c>
      <c r="D46">
        <v>160</v>
      </c>
      <c r="E46">
        <v>96</v>
      </c>
      <c r="F46" s="4">
        <v>46033</v>
      </c>
    </row>
    <row r="47" spans="1:6" x14ac:dyDescent="0.25">
      <c r="A47" t="s">
        <v>8</v>
      </c>
      <c r="B47" t="s">
        <v>24</v>
      </c>
      <c r="C47" t="s">
        <v>25</v>
      </c>
      <c r="D47">
        <v>266</v>
      </c>
      <c r="E47">
        <v>18</v>
      </c>
      <c r="F47" s="4">
        <v>46026</v>
      </c>
    </row>
    <row r="48" spans="1:6" x14ac:dyDescent="0.25">
      <c r="A48" t="s">
        <v>8</v>
      </c>
      <c r="B48" t="s">
        <v>26</v>
      </c>
      <c r="C48" t="s">
        <v>25</v>
      </c>
      <c r="D48">
        <v>366</v>
      </c>
      <c r="E48">
        <v>102</v>
      </c>
      <c r="F48" s="4">
        <v>46038</v>
      </c>
    </row>
    <row r="49" spans="1:6" x14ac:dyDescent="0.25">
      <c r="A49" t="s">
        <v>8</v>
      </c>
      <c r="B49" t="s">
        <v>22</v>
      </c>
      <c r="C49" t="s">
        <v>12</v>
      </c>
      <c r="D49">
        <v>282</v>
      </c>
      <c r="F49" s="4">
        <v>46042</v>
      </c>
    </row>
    <row r="50" spans="1:6" x14ac:dyDescent="0.25">
      <c r="A50" t="s">
        <v>8</v>
      </c>
      <c r="B50" t="s">
        <v>9</v>
      </c>
      <c r="C50" t="s">
        <v>27</v>
      </c>
      <c r="D50">
        <v>175</v>
      </c>
      <c r="F50" s="4">
        <v>46046</v>
      </c>
    </row>
    <row r="51" spans="1:6" x14ac:dyDescent="0.25">
      <c r="A51" t="s">
        <v>8</v>
      </c>
      <c r="B51" t="s">
        <v>26</v>
      </c>
      <c r="C51" t="s">
        <v>12</v>
      </c>
      <c r="D51">
        <v>162</v>
      </c>
      <c r="E51">
        <v>124</v>
      </c>
      <c r="F51" s="4">
        <v>46030</v>
      </c>
    </row>
    <row r="52" spans="1:6" x14ac:dyDescent="0.25">
      <c r="A52" t="s">
        <v>8</v>
      </c>
      <c r="B52" t="s">
        <v>24</v>
      </c>
      <c r="C52" t="s">
        <v>10</v>
      </c>
      <c r="D52">
        <v>164</v>
      </c>
      <c r="E52">
        <v>45</v>
      </c>
      <c r="F52" s="4">
        <v>46024</v>
      </c>
    </row>
    <row r="53" spans="1:6" x14ac:dyDescent="0.25">
      <c r="A53" t="s">
        <v>8</v>
      </c>
      <c r="B53" t="s">
        <v>26</v>
      </c>
      <c r="C53" t="s">
        <v>10</v>
      </c>
      <c r="D53">
        <v>176</v>
      </c>
      <c r="E53">
        <v>200</v>
      </c>
      <c r="F53" s="4">
        <v>46026</v>
      </c>
    </row>
    <row r="54" spans="1:6" x14ac:dyDescent="0.25">
      <c r="A54" t="s">
        <v>8</v>
      </c>
      <c r="B54" t="s">
        <v>8</v>
      </c>
      <c r="C54" t="s">
        <v>10</v>
      </c>
      <c r="D54">
        <v>239</v>
      </c>
      <c r="E54">
        <v>100</v>
      </c>
      <c r="F54" s="4">
        <v>46043</v>
      </c>
    </row>
    <row r="55" spans="1:6" x14ac:dyDescent="0.25">
      <c r="A55" t="s">
        <v>8</v>
      </c>
      <c r="B55" t="s">
        <v>22</v>
      </c>
      <c r="C55" t="s">
        <v>25</v>
      </c>
      <c r="D55">
        <v>289</v>
      </c>
      <c r="F55" s="4">
        <v>46033</v>
      </c>
    </row>
    <row r="56" spans="1:6" x14ac:dyDescent="0.25">
      <c r="A56" t="s">
        <v>8</v>
      </c>
      <c r="B56" t="s">
        <v>22</v>
      </c>
      <c r="C56" t="s">
        <v>11</v>
      </c>
      <c r="D56">
        <v>107</v>
      </c>
      <c r="F56" s="4">
        <v>46023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CC604D-A7E1-4191-B761-1902B48526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SOL-VASE-14_Forecast_Base_v1.</vt:lpstr>
      <vt:lpstr>Capstone Summary</vt:lpstr>
      <vt:lpstr>SOL-VASE-14_Raw_Export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2026-09-30T11:45:27Z</dcterms:created>
  <dcterms:modified xsi:type="dcterms:W3CDTF">2026-10-20T04:43:59Z</dcterms:modified>
</cp:coreProperties>
</file>