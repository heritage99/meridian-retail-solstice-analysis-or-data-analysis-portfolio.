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90-DAYS SKILL PRACTICE\"/>
    </mc:Choice>
  </mc:AlternateContent>
  <xr:revisionPtr revIDLastSave="0" documentId="13_ncr:1_{EE8C4A77-0AC7-46EF-A769-8FA6B21DFBE0}" xr6:coauthVersionLast="47" xr6:coauthVersionMax="47" xr10:uidLastSave="{00000000-0000-0000-0000-000000000000}"/>
  <bookViews>
    <workbookView xWindow="-120" yWindow="-120" windowWidth="20730" windowHeight="11310" activeTab="3" xr2:uid="{E17496D5-7B12-41FA-B948-328081FEBE59}"/>
  </bookViews>
  <sheets>
    <sheet name="Week 1 clean file" sheetId="1" r:id="rId1"/>
    <sheet name="Summary" sheetId="2" r:id="rId2"/>
    <sheet name="LAUNCH" sheetId="3" r:id="rId3"/>
    <sheet name="Note" sheetId="4" r:id="rId4"/>
  </sheets>
  <definedNames>
    <definedName name="ExternalData_1" localSheetId="0" hidden="1">'Week 1 clean file'!$A$1:$H$41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 s="1"/>
  <c r="D6" i="2"/>
  <c r="E6" i="2" s="1"/>
  <c r="E5" i="2"/>
  <c r="D5" i="2"/>
  <c r="D4" i="2"/>
  <c r="E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AC3CE6-7BE2-426F-B14B-147DF452F68F}" keepAlive="1" name="Query - SOL-VASE-14_Raw_Export" description="Connection to the 'SOL-VASE-14_Raw_Export' query in the workbook." type="5" refreshedVersion="8" background="1" saveData="1">
    <dbPr connection="Provider=Microsoft.Mashup.OleDb.1;Data Source=$Workbook$;Location=SOL-VASE-14_Raw_Export;Extended Properties=&quot;&quot;" command="SELECT * FROM [SOL-VASE-14_Raw_Export]"/>
  </connection>
</connections>
</file>

<file path=xl/sharedStrings.xml><?xml version="1.0" encoding="utf-8"?>
<sst xmlns="http://schemas.openxmlformats.org/spreadsheetml/2006/main" count="213" uniqueCount="84">
  <si>
    <t>SOL-VASE-14</t>
  </si>
  <si>
    <t>SKU_name</t>
  </si>
  <si>
    <t>Warehouse_Region</t>
  </si>
  <si>
    <t>Units_On_Hand</t>
  </si>
  <si>
    <t>Units_Sold_LastLaunch</t>
  </si>
  <si>
    <t>Month</t>
  </si>
  <si>
    <t>Day</t>
  </si>
  <si>
    <t>Year</t>
  </si>
  <si>
    <t>Solstice Ceramic Vase</t>
  </si>
  <si>
    <t>Lagos</t>
  </si>
  <si>
    <t>Port-Harcourt</t>
  </si>
  <si>
    <t>Abuja</t>
  </si>
  <si>
    <t>Row Labels</t>
  </si>
  <si>
    <t>Sum of Units_On_Hand</t>
  </si>
  <si>
    <t>Sum of Units_Sold_LastLaunch</t>
  </si>
  <si>
    <t>Initial Stock</t>
  </si>
  <si>
    <t xml:space="preserve">Sell-Through % </t>
  </si>
  <si>
    <t>Grand Total</t>
  </si>
  <si>
    <t>Region</t>
  </si>
  <si>
    <r>
      <t>Unit Retail Price:</t>
    </r>
    <r>
      <rPr>
        <sz val="11"/>
        <color theme="1"/>
        <rFont val="Arial"/>
        <family val="2"/>
      </rPr>
      <t xml:space="preserve"> ₦8,500</t>
    </r>
  </si>
  <si>
    <r>
      <t>Total Launch Units Sold: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220 units</t>
    </r>
    <r>
      <rPr>
        <sz val="11"/>
        <color theme="1"/>
        <rFont val="Arial"/>
        <family val="2"/>
      </rPr>
      <t xml:space="preserve"> (117 on Day 1 + 103 on Day 2)</t>
    </r>
  </si>
  <si>
    <r>
      <t>Total Launch Revenue: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₦1,870,000</t>
    </r>
    <r>
      <rPr>
        <sz val="11"/>
        <color theme="1"/>
        <rFont val="Arial"/>
        <family val="2"/>
      </rPr>
      <t xml:space="preserve"> (₦994,500 on Day 1 + ₦875,500 on Day 2)</t>
    </r>
  </si>
  <si>
    <r>
      <t>Best Performing Region: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Port-Harcourt</t>
    </r>
    <r>
      <rPr>
        <sz val="11"/>
        <color theme="1"/>
        <rFont val="Arial"/>
        <family val="2"/>
      </rPr>
      <t xml:space="preserve"> with </t>
    </r>
    <r>
      <rPr>
        <b/>
        <sz val="11"/>
        <color theme="1"/>
        <rFont val="Arial"/>
        <family val="2"/>
      </rPr>
      <t>88 units</t>
    </r>
    <r>
      <rPr>
        <sz val="11"/>
        <color theme="1"/>
        <rFont val="Arial"/>
        <family val="2"/>
      </rPr>
      <t xml:space="preserve"> (₦748,000 revenue; 40.0% of total volume)</t>
    </r>
  </si>
  <si>
    <r>
      <t>Second/Third Regions: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Abuja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Lagos</t>
    </r>
    <r>
      <rPr>
        <sz val="11"/>
        <color theme="1"/>
        <rFont val="Arial"/>
        <family val="2"/>
      </rPr>
      <t xml:space="preserve"> tied in units with </t>
    </r>
    <r>
      <rPr>
        <b/>
        <sz val="11"/>
        <color theme="1"/>
        <rFont val="Arial"/>
        <family val="2"/>
      </rPr>
      <t>66 units each</t>
    </r>
    <r>
      <rPr>
        <sz val="11"/>
        <color theme="1"/>
        <rFont val="Arial"/>
        <family val="2"/>
      </rPr>
      <t xml:space="preserve"> (₦561,000 revenue; 30.0% share each)</t>
    </r>
  </si>
  <si>
    <t>Table 1: Week 2 Launch Executive KPI Summary</t>
  </si>
  <si>
    <t>Metric</t>
  </si>
  <si>
    <t>Value</t>
  </si>
  <si>
    <t>Reference / Formula</t>
  </si>
  <si>
    <t>Product</t>
  </si>
  <si>
    <t>Solstice Ceramic Vase (SOL-VASE-14)</t>
  </si>
  <si>
    <t>Text</t>
  </si>
  <si>
    <t>Unit Selling Price</t>
  </si>
  <si>
    <t>₦8,500</t>
  </si>
  <si>
    <t>Fixed unit price</t>
  </si>
  <si>
    <t>Total Units Sold</t>
  </si>
  <si>
    <t>Day 1 (117) + Day 2 (103)</t>
  </si>
  <si>
    <t>Total Revenue</t>
  </si>
  <si>
    <t>₦1,870,000</t>
  </si>
  <si>
    <t>220 units × ₦8,500</t>
  </si>
  <si>
    <t>Best Performing Region</t>
  </si>
  <si>
    <t>88 units (₦748,000)</t>
  </si>
  <si>
    <t>Abuja Sales</t>
  </si>
  <si>
    <t>66 units</t>
  </si>
  <si>
    <t>₦561,000</t>
  </si>
  <si>
    <t>Lagos Sales</t>
  </si>
  <si>
    <t>Table 2: Day 1 vs. Day 2 Regional Breakdown</t>
  </si>
  <si>
    <t>Day 1 Units</t>
  </si>
  <si>
    <t>Day 1 Revenue</t>
  </si>
  <si>
    <t>Day 2 Units</t>
  </si>
  <si>
    <t>Day 2 Revenue</t>
  </si>
  <si>
    <t>Total Units</t>
  </si>
  <si>
    <t>Regional Share</t>
  </si>
  <si>
    <t>₦357,000</t>
  </si>
  <si>
    <t>₦204,000</t>
  </si>
  <si>
    <t>₦229,500</t>
  </si>
  <si>
    <t>₦331,500</t>
  </si>
  <si>
    <t>₦408,000</t>
  </si>
  <si>
    <t>₦340,000</t>
  </si>
  <si>
    <t>₦748,000</t>
  </si>
  <si>
    <t>Total</t>
  </si>
  <si>
    <t>₦994,500</t>
  </si>
  <si>
    <t>₦875,500</t>
  </si>
  <si>
    <t>1. What Was Cleaned (Data Hygiene &amp; Transformation)</t>
  </si>
  <si>
    <t>Deduplication:</t>
  </si>
  <si>
    <r>
      <t xml:space="preserve">Identified and removed </t>
    </r>
    <r>
      <rPr>
        <b/>
        <sz val="11"/>
        <color theme="1"/>
        <rFont val="Calibri"/>
        <family val="2"/>
        <scheme val="minor"/>
      </rPr>
      <t>15 exact duplicate rows</t>
    </r>
    <r>
      <rPr>
        <sz val="11"/>
        <color theme="1"/>
        <rFont val="Calibri"/>
        <family val="2"/>
        <scheme val="minor"/>
      </rPr>
      <t xml:space="preserve"> from the raw export, reducing the dataset from 55 raw observations down to </t>
    </r>
    <r>
      <rPr>
        <b/>
        <sz val="11"/>
        <color theme="1"/>
        <rFont val="Calibri"/>
        <family val="2"/>
        <scheme val="minor"/>
      </rPr>
      <t>40 distinct daily warehouse records</t>
    </r>
    <r>
      <rPr>
        <sz val="11"/>
        <color theme="1"/>
        <rFont val="Calibri"/>
        <family val="2"/>
        <scheme val="minor"/>
      </rPr>
      <t>.</t>
    </r>
  </si>
  <si>
    <t>Regional Standardization &amp; Whitespace Trimming:</t>
  </si>
  <si>
    <r>
      <t>The raw data contained 9 different region variants (</t>
    </r>
    <r>
      <rPr>
        <sz val="10"/>
        <color theme="1"/>
        <rFont val="Arial Unicode MS"/>
      </rPr>
      <t>PH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Port-Harcourt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lagos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Lagos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 xml:space="preserve">Lagos 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ABUJA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Abuja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Abuja</t>
    </r>
    <r>
      <rPr>
        <sz val="11"/>
        <color theme="1"/>
        <rFont val="Calibri"/>
        <family val="2"/>
        <scheme val="minor"/>
      </rPr>
      <t>).</t>
    </r>
  </si>
  <si>
    <r>
      <t xml:space="preserve">Applied </t>
    </r>
    <r>
      <rPr>
        <sz val="10"/>
        <color theme="1"/>
        <rFont val="Arial Unicode MS"/>
      </rPr>
      <t>=TRIM()</t>
    </r>
    <r>
      <rPr>
        <sz val="11"/>
        <color theme="1"/>
        <rFont val="Calibri"/>
        <family val="2"/>
        <scheme val="minor"/>
      </rPr>
      <t xml:space="preserve"> and unified all variations into three standard corporate territories: </t>
    </r>
    <r>
      <rPr>
        <b/>
        <sz val="10"/>
        <color theme="1"/>
        <rFont val="Arial Unicode MS"/>
      </rPr>
      <t>Abuja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Lagos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0"/>
        <color theme="1"/>
        <rFont val="Arial Unicode MS"/>
      </rPr>
      <t>Port-Harcourt</t>
    </r>
    <r>
      <rPr>
        <sz val="11"/>
        <color theme="1"/>
        <rFont val="Calibri"/>
        <family val="2"/>
        <scheme val="minor"/>
      </rPr>
      <t>.</t>
    </r>
  </si>
  <si>
    <t>SKU &amp; Product Name Normalization:</t>
  </si>
  <si>
    <r>
      <t>Consolidated five inconsistent naming representations (</t>
    </r>
    <r>
      <rPr>
        <sz val="10"/>
        <color theme="1"/>
        <rFont val="Arial Unicode MS"/>
      </rPr>
      <t>SOL VASE 14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sol-vase-14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SOL-VASE-14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SOL-VASE-14 - Solstice Ceramic Vase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Solstice Ceramic Vase</t>
    </r>
    <r>
      <rPr>
        <sz val="11"/>
        <color theme="1"/>
        <rFont val="Calibri"/>
        <family val="2"/>
        <scheme val="minor"/>
      </rPr>
      <t xml:space="preserve">) into the official uniform product title: </t>
    </r>
    <r>
      <rPr>
        <b/>
        <sz val="10"/>
        <color theme="1"/>
        <rFont val="Arial Unicode MS"/>
      </rPr>
      <t>Solstice Ceramic Vase</t>
    </r>
    <r>
      <rPr>
        <sz val="11"/>
        <color theme="1"/>
        <rFont val="Calibri"/>
        <family val="2"/>
        <scheme val="minor"/>
      </rPr>
      <t xml:space="preserve"> under SKU </t>
    </r>
    <r>
      <rPr>
        <b/>
        <sz val="10"/>
        <color theme="1"/>
        <rFont val="Arial Unicode MS"/>
      </rPr>
      <t>SOL-VASE-14</t>
    </r>
    <r>
      <rPr>
        <sz val="11"/>
        <color theme="1"/>
        <rFont val="Calibri"/>
        <family val="2"/>
        <scheme val="minor"/>
      </rPr>
      <t>.</t>
    </r>
  </si>
  <si>
    <t>Stock-Count Error Correction:</t>
  </si>
  <si>
    <r>
      <t xml:space="preserve">Identified an erroneous fractional value of </t>
    </r>
    <r>
      <rPr>
        <b/>
        <sz val="10"/>
        <color theme="1"/>
        <rFont val="Arial Unicode MS"/>
      </rPr>
      <t>25.4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Units_On_Hand</t>
    </r>
    <r>
      <rPr>
        <sz val="11"/>
        <color theme="1"/>
        <rFont val="Calibri"/>
        <family val="2"/>
        <scheme val="minor"/>
      </rPr>
      <t xml:space="preserve"> for Port-Harcourt on January 6, 2026.</t>
    </r>
  </si>
  <si>
    <t>Date Parsing &amp; Schema Alignment:</t>
  </si>
  <si>
    <r>
      <t xml:space="preserve">Parsed single timestamp strings into dedicated, filterable chronological integer fields: </t>
    </r>
    <r>
      <rPr>
        <b/>
        <sz val="10"/>
        <color theme="1"/>
        <rFont val="Arial Unicode MS"/>
      </rPr>
      <t>Month</t>
    </r>
    <r>
      <rPr>
        <b/>
        <sz val="11"/>
        <color theme="1"/>
        <rFont val="Calibri"/>
        <family val="2"/>
        <scheme val="minor"/>
      </rPr>
      <t xml:space="preserve"> (1)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Day</t>
    </r>
    <r>
      <rPr>
        <b/>
        <sz val="11"/>
        <color theme="1"/>
        <rFont val="Calibri"/>
        <family val="2"/>
        <scheme val="minor"/>
      </rPr>
      <t xml:space="preserve"> (1–28)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0"/>
        <color theme="1"/>
        <rFont val="Arial Unicode MS"/>
      </rPr>
      <t>Year</t>
    </r>
    <r>
      <rPr>
        <b/>
        <sz val="11"/>
        <color theme="1"/>
        <rFont val="Calibri"/>
        <family val="2"/>
        <scheme val="minor"/>
      </rPr>
      <t xml:space="preserve"> (2026)</t>
    </r>
    <r>
      <rPr>
        <sz val="11"/>
        <color theme="1"/>
        <rFont val="Calibri"/>
        <family val="2"/>
        <scheme val="minor"/>
      </rPr>
      <t xml:space="preserve"> to facilitate timeline and launch day aggregations.</t>
    </r>
  </si>
  <si>
    <t>2. What Was Assumed (Analytical Assumptions)</t>
  </si>
  <si>
    <r>
      <t>Missing Sales Imputation (</t>
    </r>
    <r>
      <rPr>
        <b/>
        <sz val="10"/>
        <color theme="1"/>
        <rFont val="Arial Unicode MS"/>
      </rPr>
      <t>Units_Sold_LastLaunch = 0</t>
    </r>
    <r>
      <rPr>
        <b/>
        <sz val="11"/>
        <color theme="1"/>
        <rFont val="Calibri"/>
        <family val="2"/>
        <scheme val="minor"/>
      </rPr>
      <t>):</t>
    </r>
  </si>
  <si>
    <r>
      <t xml:space="preserve">The raw dataset contained </t>
    </r>
    <r>
      <rPr>
        <b/>
        <sz val="11"/>
        <color theme="1"/>
        <rFont val="Calibri"/>
        <family val="2"/>
        <scheme val="minor"/>
      </rPr>
      <t>13 blank/null cells</t>
    </r>
    <r>
      <rPr>
        <sz val="11"/>
        <color theme="1"/>
        <rFont val="Calibri"/>
        <family val="2"/>
        <scheme val="minor"/>
      </rPr>
      <t xml:space="preserve"> in </t>
    </r>
    <r>
      <rPr>
        <sz val="10"/>
        <color theme="1"/>
        <rFont val="Arial Unicode MS"/>
      </rPr>
      <t>Units_Sold_LastLaunch</t>
    </r>
    <r>
      <rPr>
        <sz val="11"/>
        <color theme="1"/>
        <rFont val="Calibri"/>
        <family val="2"/>
        <scheme val="minor"/>
      </rPr>
      <t>.</t>
    </r>
  </si>
  <si>
    <r>
      <t>Assumption:</t>
    </r>
    <r>
      <rPr>
        <sz val="11"/>
        <color theme="1"/>
        <rFont val="Calibri"/>
        <family val="2"/>
        <scheme val="minor"/>
      </rPr>
      <t xml:space="preserve"> Because inventory tracking was active on those warehouse dates with reported </t>
    </r>
    <r>
      <rPr>
        <sz val="10"/>
        <color theme="1"/>
        <rFont val="Arial Unicode MS"/>
      </rPr>
      <t>Units_On_Hand</t>
    </r>
    <r>
      <rPr>
        <sz val="11"/>
        <color theme="1"/>
        <rFont val="Calibri"/>
        <family val="2"/>
        <scheme val="minor"/>
      </rPr>
      <t xml:space="preserve">, blank sales cells represent </t>
    </r>
    <r>
      <rPr>
        <b/>
        <sz val="11"/>
        <color theme="1"/>
        <rFont val="Calibri"/>
        <family val="2"/>
        <scheme val="minor"/>
      </rPr>
      <t>zero demand/zero sales days</t>
    </r>
    <r>
      <rPr>
        <sz val="11"/>
        <color theme="1"/>
        <rFont val="Calibri"/>
        <family val="2"/>
        <scheme val="minor"/>
      </rPr>
      <t xml:space="preserve"> rather than lost or unrecorded transactions. They were imputed with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</t>
    </r>
  </si>
  <si>
    <r>
      <t>Nature of the Fractional Inventory (</t>
    </r>
    <r>
      <rPr>
        <b/>
        <sz val="10"/>
        <color theme="1"/>
        <rFont val="Arial Unicode MS"/>
      </rPr>
      <t>25.4</t>
    </r>
    <r>
      <rPr>
        <b/>
        <sz val="11"/>
        <color theme="1"/>
        <rFont val="Calibri"/>
        <family val="2"/>
        <scheme val="minor"/>
      </rPr>
      <t xml:space="preserve"> Typo Logic):</t>
    </r>
  </si>
  <si>
    <r>
      <t>Assumption:</t>
    </r>
    <r>
      <rPr>
        <sz val="11"/>
        <color theme="1"/>
        <rFont val="Calibri"/>
        <family val="2"/>
        <scheme val="minor"/>
      </rPr>
      <t xml:space="preserve"> Ceramic vases are discrete, non-divisible goods that cannot physically exist as decimal quantities. Given standard keyboard layouts and data entry workflows, the decimal point was assumed to be an accidental keystroke for </t>
    </r>
    <r>
      <rPr>
        <b/>
        <sz val="10"/>
        <color theme="1"/>
        <rFont val="Arial Unicode MS"/>
      </rPr>
      <t>254</t>
    </r>
    <r>
      <rPr>
        <sz val="11"/>
        <color theme="1"/>
        <rFont val="Calibri"/>
        <family val="2"/>
        <scheme val="minor"/>
      </rPr>
      <t xml:space="preserve"> rather than a damaged/scrap unit fraction or an intended </t>
    </r>
    <r>
      <rPr>
        <sz val="10"/>
        <color theme="1"/>
        <rFont val="Arial Unicode MS"/>
      </rPr>
      <t>25</t>
    </r>
    <r>
      <rPr>
        <sz val="11"/>
        <color theme="1"/>
        <rFont val="Calibri"/>
        <family val="2"/>
        <scheme val="minor"/>
      </rPr>
      <t>.</t>
    </r>
  </si>
  <si>
    <t>Independent Daily Inventory Snapshots:</t>
  </si>
  <si>
    <r>
      <t>Assumption:</t>
    </r>
    <r>
      <rPr>
        <sz val="11"/>
        <color theme="1"/>
        <rFont val="Calibri"/>
        <family val="2"/>
        <scheme val="minor"/>
      </rPr>
      <t xml:space="preserve"> The rows in </t>
    </r>
    <r>
      <rPr>
        <sz val="10"/>
        <color theme="1"/>
        <rFont val="Arial Unicode MS"/>
      </rPr>
      <t>Units_On_Hand</t>
    </r>
    <r>
      <rPr>
        <sz val="11"/>
        <color theme="1"/>
        <rFont val="Calibri"/>
        <family val="2"/>
        <scheme val="minor"/>
      </rPr>
      <t xml:space="preserve"> represent distinct regional inventory log batches/lots rather than a single running cumulative ledger, as daily stock figures fluctuate independently alongside daily sales logs.</t>
    </r>
  </si>
  <si>
    <t>Launch Pricing &amp; Revenue Uniformity (Week 2 Integration):</t>
  </si>
  <si>
    <r>
      <t>Assumption:</t>
    </r>
    <r>
      <rPr>
        <sz val="11"/>
        <color theme="1"/>
        <rFont val="Calibri"/>
        <family val="2"/>
        <scheme val="minor"/>
      </rPr>
      <t xml:space="preserve"> In alignment with Week 2 transactional records (</t>
    </r>
    <r>
      <rPr>
        <sz val="10"/>
        <color theme="1"/>
        <rFont val="Arial Unicode MS"/>
      </rPr>
      <t>SOL-VASE-14_Day1_Sales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SOL-VASE-14_Day2_Sales</t>
    </r>
    <r>
      <rPr>
        <sz val="11"/>
        <color theme="1"/>
        <rFont val="Calibri"/>
        <family val="2"/>
        <scheme val="minor"/>
      </rPr>
      <t xml:space="preserve">), all retail sales were assumed to occur at the verified uniform retail price of </t>
    </r>
    <r>
      <rPr>
        <b/>
        <sz val="11"/>
        <color theme="1"/>
        <rFont val="Calibri"/>
        <family val="2"/>
        <scheme val="minor"/>
      </rPr>
      <t>₦8,500 per unit</t>
    </r>
    <r>
      <rPr>
        <sz val="11"/>
        <color theme="1"/>
        <rFont val="Calibri"/>
        <family val="2"/>
        <scheme val="minor"/>
      </rPr>
      <t xml:space="preserve"> with zero discounting, promotional rebates, or returns across all three regions.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</si>
</sst>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0" fontId="2" fillId="0" borderId="1" xfId="0" applyNumberFormat="1" applyFont="1" applyBorder="1" applyAlignment="1">
      <alignment horizontal="left" vertical="center" wrapText="1" indent="1"/>
    </xf>
    <xf numFmtId="10" fontId="3" fillId="0" borderId="1" xfId="0" applyNumberFormat="1" applyFont="1" applyBorder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OL-VASE-14%20Clean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5.145914814813" createdVersion="8" refreshedVersion="8" minRefreshableVersion="3" recordCount="40" xr:uid="{89509745-764F-41C4-9013-F01E853A464C}">
  <cacheSource type="worksheet">
    <worksheetSource name="SOL_VASE_14_Raw_Export" r:id="rId2"/>
  </cacheSource>
  <cacheFields count="8">
    <cacheField name="SKU" numFmtId="0">
      <sharedItems/>
    </cacheField>
    <cacheField name="SKU_name" numFmtId="0">
      <sharedItems/>
    </cacheField>
    <cacheField name="Warehouse_Region" numFmtId="0">
      <sharedItems count="5">
        <s v="Lagos"/>
        <s v="Port-Harcourt"/>
        <s v="Abuja"/>
        <s v=" Abuja" u="1"/>
        <s v="Lagos  " u="1"/>
      </sharedItems>
    </cacheField>
    <cacheField name="Units_On_Hand" numFmtId="0">
      <sharedItems containsSemiMixedTypes="0" containsString="0" containsNumber="1" minValue="25.4" maxValue="498"/>
    </cacheField>
    <cacheField name="Units_Sold_LastLaunch" numFmtId="0">
      <sharedItems containsSemiMixedTypes="0" containsString="0" containsNumber="1" containsInteger="1" minValue="0" maxValue="200"/>
    </cacheField>
    <cacheField name="Month" numFmtId="0">
      <sharedItems containsSemiMixedTypes="0" containsString="0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SOL-VASE-14"/>
    <s v="Solstice Ceramic Vase"/>
    <x v="0"/>
    <n v="385"/>
    <n v="137"/>
    <n v="1"/>
    <n v="2"/>
    <n v="2026"/>
  </r>
  <r>
    <s v="SOL-VASE-14"/>
    <s v="Sol-Vase-14"/>
    <x v="1"/>
    <n v="284"/>
    <n v="46"/>
    <n v="1"/>
    <n v="3"/>
    <n v="2026"/>
  </r>
  <r>
    <s v="SOL-VASE-14"/>
    <s v="Sol-Vase-14"/>
    <x v="1"/>
    <n v="429"/>
    <n v="149"/>
    <n v="1"/>
    <n v="3"/>
    <n v="2026"/>
  </r>
  <r>
    <s v="SOL-VASE-14"/>
    <s v="Sol-Vase-14"/>
    <x v="0"/>
    <n v="400"/>
    <n v="93"/>
    <n v="1"/>
    <n v="26"/>
    <n v="2026"/>
  </r>
  <r>
    <s v="SOL-VASE-14"/>
    <s v="Sol-Vase-14"/>
    <x v="2"/>
    <n v="464"/>
    <n v="11"/>
    <n v="1"/>
    <n v="9"/>
    <n v="2026"/>
  </r>
  <r>
    <s v="SOL-VASE-14"/>
    <s v="Sol-Vase-14"/>
    <x v="1"/>
    <n v="498"/>
    <n v="193"/>
    <n v="1"/>
    <n v="1"/>
    <n v="2026"/>
  </r>
  <r>
    <s v="SOL-VASE-14"/>
    <s v="Sol-Vase-14"/>
    <x v="1"/>
    <n v="490"/>
    <n v="12"/>
    <n v="1"/>
    <n v="12"/>
    <n v="2026"/>
  </r>
  <r>
    <s v="SOL-VASE-14"/>
    <s v="Sol-Vase-14"/>
    <x v="2"/>
    <n v="310"/>
    <n v="0"/>
    <n v="1"/>
    <n v="7"/>
    <n v="2026"/>
  </r>
  <r>
    <s v="SOL-VASE-14"/>
    <s v="Sol-Vase-14 - Solstice Ceramic Vase"/>
    <x v="2"/>
    <n v="162"/>
    <n v="124"/>
    <n v="1"/>
    <n v="8"/>
    <n v="2026"/>
  </r>
  <r>
    <s v="SOL-VASE-14"/>
    <s v="Solstice Ceramic Vase"/>
    <x v="1"/>
    <n v="184"/>
    <n v="0"/>
    <n v="1"/>
    <n v="5"/>
    <n v="2026"/>
  </r>
  <r>
    <s v="SOL-VASE-14"/>
    <s v="Sol-Vase-14"/>
    <x v="0"/>
    <n v="410"/>
    <n v="27"/>
    <n v="1"/>
    <n v="17"/>
    <n v="2026"/>
  </r>
  <r>
    <s v="SOL-VASE-14"/>
    <s v="Sol-Vase-14"/>
    <x v="1"/>
    <n v="166"/>
    <n v="84"/>
    <n v="1"/>
    <n v="18"/>
    <n v="2026"/>
  </r>
  <r>
    <s v="SOL-VASE-14"/>
    <s v="Solstice Ceramic Vase"/>
    <x v="2"/>
    <n v="175"/>
    <n v="0"/>
    <n v="1"/>
    <n v="24"/>
    <n v="2026"/>
  </r>
  <r>
    <s v="SOL-VASE-14"/>
    <s v="Sol-Vase-14"/>
    <x v="0"/>
    <n v="490"/>
    <n v="38"/>
    <n v="1"/>
    <n v="8"/>
    <n v="2026"/>
  </r>
  <r>
    <s v="SOL-VASE-14"/>
    <s v="Solstice Ceramic Vase"/>
    <x v="0"/>
    <n v="493"/>
    <n v="35"/>
    <n v="1"/>
    <n v="19"/>
    <n v="2026"/>
  </r>
  <r>
    <s v="SOL-VASE-14"/>
    <s v="Sol-Vase-14"/>
    <x v="2"/>
    <n v="187"/>
    <n v="26"/>
    <n v="1"/>
    <n v="28"/>
    <n v="2026"/>
  </r>
  <r>
    <s v="SOL-VASE-14"/>
    <s v="Sol-Vase-14"/>
    <x v="1"/>
    <n v="25.4"/>
    <n v="102"/>
    <n v="1"/>
    <n v="6"/>
    <n v="2026"/>
  </r>
  <r>
    <s v="SOL-VASE-14"/>
    <s v="Sol-Vase-14"/>
    <x v="2"/>
    <n v="90"/>
    <n v="151"/>
    <n v="1"/>
    <n v="15"/>
    <n v="2026"/>
  </r>
  <r>
    <s v="SOL-VASE-14"/>
    <s v="Sol-Vase-14"/>
    <x v="0"/>
    <n v="244"/>
    <n v="0"/>
    <n v="1"/>
    <n v="12"/>
    <n v="2026"/>
  </r>
  <r>
    <s v="SOL-VASE-14"/>
    <s v="Sol-Vase-14"/>
    <x v="1"/>
    <n v="186"/>
    <n v="189"/>
    <n v="1"/>
    <n v="22"/>
    <n v="2026"/>
  </r>
  <r>
    <s v="SOL-VASE-14"/>
    <s v="Sol-Vase-14"/>
    <x v="2"/>
    <n v="359"/>
    <n v="0"/>
    <n v="1"/>
    <n v="13"/>
    <n v="2026"/>
  </r>
  <r>
    <s v="SOL-VASE-14"/>
    <s v="Sol-Vase-14"/>
    <x v="0"/>
    <n v="266"/>
    <n v="97"/>
    <n v="1"/>
    <n v="10"/>
    <n v="2026"/>
  </r>
  <r>
    <s v="SOL-VASE-14"/>
    <s v="Sol-Vase-14"/>
    <x v="0"/>
    <n v="470"/>
    <n v="18"/>
    <n v="1"/>
    <n v="27"/>
    <n v="2026"/>
  </r>
  <r>
    <s v="SOL-VASE-14"/>
    <s v="Sol-Vase-14 - Solstice Ceramic Vase"/>
    <x v="1"/>
    <n v="382"/>
    <n v="0"/>
    <n v="1"/>
    <n v="7"/>
    <n v="2026"/>
  </r>
  <r>
    <s v="SOL-VASE-14"/>
    <s v="Sol-Vase-14 - Solstice Ceramic Vase"/>
    <x v="1"/>
    <n v="375"/>
    <n v="53"/>
    <n v="1"/>
    <n v="23"/>
    <n v="2026"/>
  </r>
  <r>
    <s v="SOL-VASE-14"/>
    <s v="Sol-Vase-14"/>
    <x v="1"/>
    <n v="107"/>
    <n v="0"/>
    <n v="1"/>
    <n v="1"/>
    <n v="2026"/>
  </r>
  <r>
    <s v="SOL-VASE-14"/>
    <s v="Sol-Vase-14 - Solstice Ceramic Vase"/>
    <x v="2"/>
    <n v="188"/>
    <n v="173"/>
    <n v="1"/>
    <n v="25"/>
    <n v="2026"/>
  </r>
  <r>
    <s v="SOL-VASE-14"/>
    <s v="Sol-Vase-14"/>
    <x v="1"/>
    <n v="285"/>
    <n v="147"/>
    <n v="1"/>
    <n v="14"/>
    <n v="2026"/>
  </r>
  <r>
    <s v="SOL-VASE-14"/>
    <s v="Sol-Vase-14"/>
    <x v="0"/>
    <n v="160"/>
    <n v="96"/>
    <n v="1"/>
    <n v="11"/>
    <n v="2026"/>
  </r>
  <r>
    <s v="SOL-VASE-14"/>
    <s v="Solstice Ceramic Vase"/>
    <x v="1"/>
    <n v="82"/>
    <n v="108"/>
    <n v="1"/>
    <n v="10"/>
    <n v="2026"/>
  </r>
  <r>
    <s v="SOL-VASE-14"/>
    <s v="Sol-Vase-14 - Solstice Ceramic Vase"/>
    <x v="0"/>
    <n v="161"/>
    <n v="69"/>
    <n v="1"/>
    <n v="5"/>
    <n v="2026"/>
  </r>
  <r>
    <s v="SOL-VASE-14"/>
    <s v="Sol-Vase-14"/>
    <x v="1"/>
    <n v="63"/>
    <n v="153"/>
    <n v="1"/>
    <n v="6"/>
    <n v="2026"/>
  </r>
  <r>
    <s v="SOL-VASE-14"/>
    <s v="Solstice Ceramic Vase"/>
    <x v="1"/>
    <n v="131"/>
    <n v="184"/>
    <n v="1"/>
    <n v="9"/>
    <n v="2026"/>
  </r>
  <r>
    <s v="SOL-VASE-14"/>
    <s v="Sol-Vase-14"/>
    <x v="1"/>
    <n v="266"/>
    <n v="18"/>
    <n v="1"/>
    <n v="4"/>
    <n v="2026"/>
  </r>
  <r>
    <s v="SOL-VASE-14"/>
    <s v="Sol-Vase-14 - Solstice Ceramic Vase"/>
    <x v="1"/>
    <n v="366"/>
    <n v="102"/>
    <n v="1"/>
    <n v="16"/>
    <n v="2026"/>
  </r>
  <r>
    <s v="SOL-VASE-14"/>
    <s v="Sol-Vase-14"/>
    <x v="2"/>
    <n v="282"/>
    <n v="0"/>
    <n v="1"/>
    <n v="20"/>
    <n v="2026"/>
  </r>
  <r>
    <s v="SOL-VASE-14"/>
    <s v="Sol-Vase-14"/>
    <x v="0"/>
    <n v="164"/>
    <n v="45"/>
    <n v="1"/>
    <n v="2"/>
    <n v="2026"/>
  </r>
  <r>
    <s v="SOL-VASE-14"/>
    <s v="Sol-Vase-14 - Solstice Ceramic Vase"/>
    <x v="0"/>
    <n v="176"/>
    <n v="200"/>
    <n v="1"/>
    <n v="4"/>
    <n v="2026"/>
  </r>
  <r>
    <s v="SOL-VASE-14"/>
    <s v="Sol-Vase-14"/>
    <x v="0"/>
    <n v="239"/>
    <n v="100"/>
    <n v="1"/>
    <n v="21"/>
    <n v="2026"/>
  </r>
  <r>
    <s v="SOL-VASE-14"/>
    <s v="Sol-Vase-14"/>
    <x v="1"/>
    <n v="289"/>
    <n v="0"/>
    <n v="1"/>
    <n v="11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F6816-FDA9-443A-B192-8A2366C32F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showAll="0"/>
    <pivotField showAll="0"/>
    <pivotField axis="axisRow" showAll="0">
      <items count="6">
        <item m="1" x="3"/>
        <item x="2"/>
        <item x="0"/>
        <item m="1" x="4"/>
        <item x="1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On_Hand" fld="3" baseField="0" baseItem="0"/>
    <dataField name="Sum of Units_Sold_LastLaunch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EF63DE-59A1-47FF-8CE6-310E5F6F4703}" autoFormatId="16" applyNumberFormats="0" applyBorderFormats="0" applyFontFormats="0" applyPatternFormats="0" applyAlignmentFormats="0" applyWidthHeightFormats="0">
  <queryTableRefresh nextId="12">
    <queryTableFields count="8">
      <queryTableField id="1" name="SKU" tableColumnId="1"/>
      <queryTableField id="2" name="SKU_name" tableColumnId="2"/>
      <queryTableField id="3" name="Warehouse_Region" tableColumnId="3"/>
      <queryTableField id="4" name="Units_On_Hand" tableColumnId="4"/>
      <queryTableField id="5" name="Units_Sold_LastLaunch" tableColumnId="5"/>
      <queryTableField id="6" name="Month" tableColumnId="6"/>
      <queryTableField id="7" name="Day" tableColumnId="7"/>
      <queryTableField id="8" name="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96654-56D3-4571-B9E5-1F17220B565A}" name="SOL_VASE_14_Raw_Export" displayName="SOL_VASE_14_Raw_Export" ref="A1:H41" tableType="queryTable" totalsRowShown="0">
  <autoFilter ref="A1:H41" xr:uid="{20A96654-56D3-4571-B9E5-1F17220B565A}"/>
  <tableColumns count="8">
    <tableColumn id="1" xr3:uid="{AAA8F088-91BB-4E7B-87F1-CE3C94E0FF23}" uniqueName="1" name="SOL-VASE-14" queryTableFieldId="1" dataDxfId="2"/>
    <tableColumn id="2" xr3:uid="{8D8CC567-E3E5-4229-BB6B-A398F7A3CEE4}" uniqueName="2" name="SKU_name" queryTableFieldId="2" dataDxfId="1"/>
    <tableColumn id="3" xr3:uid="{2369EDE3-2A2F-477D-BCDB-0CE885289A53}" uniqueName="3" name="Warehouse_Region" queryTableFieldId="3" dataDxfId="0"/>
    <tableColumn id="4" xr3:uid="{75B40FAE-5559-4015-9FA4-50ACE9444AF8}" uniqueName="4" name="Units_On_Hand" queryTableFieldId="4"/>
    <tableColumn id="5" xr3:uid="{06783AFB-1AD5-415C-9F7C-50BCF668CD93}" uniqueName="5" name="Units_Sold_LastLaunch" queryTableFieldId="5"/>
    <tableColumn id="6" xr3:uid="{3A6045AB-87FA-4935-8B21-BF47116BC591}" uniqueName="6" name="Month" queryTableFieldId="6"/>
    <tableColumn id="7" xr3:uid="{D5F8C16D-CCAF-4BC2-B122-637B6B426B8A}" uniqueName="7" name="Day" queryTableFieldId="7"/>
    <tableColumn id="8" xr3:uid="{C206B891-6E06-4B87-A431-33B4E5D85422}" uniqueName="8" name="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6577-B60D-4B66-AA36-5DA5F03EAF77}">
  <dimension ref="A1:H41"/>
  <sheetViews>
    <sheetView workbookViewId="0">
      <selection activeCell="J1" sqref="J1"/>
    </sheetView>
  </sheetViews>
  <sheetFormatPr defaultRowHeight="15"/>
  <cols>
    <col min="1" max="1" width="12.28515625" bestFit="1" customWidth="1"/>
    <col min="2" max="2" width="32.85546875" bestFit="1" customWidth="1"/>
    <col min="3" max="3" width="21" bestFit="1" customWidth="1"/>
    <col min="4" max="4" width="17.28515625" bestFit="1" customWidth="1"/>
    <col min="5" max="5" width="23.85546875" bestFit="1" customWidth="1"/>
    <col min="6" max="6" width="9.28515625" bestFit="1" customWidth="1"/>
    <col min="7" max="7" width="6.5703125" bestFit="1" customWidth="1"/>
    <col min="8" max="8" width="7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0</v>
      </c>
      <c r="B2" t="s">
        <v>8</v>
      </c>
      <c r="C2" t="s">
        <v>9</v>
      </c>
      <c r="D2">
        <v>385</v>
      </c>
      <c r="E2">
        <v>137</v>
      </c>
      <c r="F2">
        <v>1</v>
      </c>
      <c r="G2">
        <v>2</v>
      </c>
      <c r="H2">
        <v>2026</v>
      </c>
    </row>
    <row r="3" spans="1:8">
      <c r="A3" t="s">
        <v>0</v>
      </c>
      <c r="B3" t="s">
        <v>8</v>
      </c>
      <c r="C3" t="s">
        <v>10</v>
      </c>
      <c r="D3">
        <v>284</v>
      </c>
      <c r="E3">
        <v>46</v>
      </c>
      <c r="F3">
        <v>1</v>
      </c>
      <c r="G3">
        <v>3</v>
      </c>
      <c r="H3">
        <v>2026</v>
      </c>
    </row>
    <row r="4" spans="1:8">
      <c r="A4" t="s">
        <v>0</v>
      </c>
      <c r="B4" t="s">
        <v>8</v>
      </c>
      <c r="C4" t="s">
        <v>10</v>
      </c>
      <c r="D4">
        <v>429</v>
      </c>
      <c r="E4">
        <v>149</v>
      </c>
      <c r="F4">
        <v>1</v>
      </c>
      <c r="G4">
        <v>3</v>
      </c>
      <c r="H4">
        <v>2026</v>
      </c>
    </row>
    <row r="5" spans="1:8">
      <c r="A5" t="s">
        <v>0</v>
      </c>
      <c r="B5" t="s">
        <v>8</v>
      </c>
      <c r="C5" t="s">
        <v>9</v>
      </c>
      <c r="D5">
        <v>400</v>
      </c>
      <c r="E5">
        <v>93</v>
      </c>
      <c r="F5">
        <v>1</v>
      </c>
      <c r="G5">
        <v>26</v>
      </c>
      <c r="H5">
        <v>2026</v>
      </c>
    </row>
    <row r="6" spans="1:8">
      <c r="A6" t="s">
        <v>0</v>
      </c>
      <c r="B6" t="s">
        <v>8</v>
      </c>
      <c r="C6" t="s">
        <v>11</v>
      </c>
      <c r="D6">
        <v>464</v>
      </c>
      <c r="E6">
        <v>11</v>
      </c>
      <c r="F6">
        <v>1</v>
      </c>
      <c r="G6">
        <v>9</v>
      </c>
      <c r="H6">
        <v>2026</v>
      </c>
    </row>
    <row r="7" spans="1:8">
      <c r="A7" t="s">
        <v>0</v>
      </c>
      <c r="B7" t="s">
        <v>8</v>
      </c>
      <c r="C7" t="s">
        <v>10</v>
      </c>
      <c r="D7">
        <v>498</v>
      </c>
      <c r="E7">
        <v>193</v>
      </c>
      <c r="F7">
        <v>1</v>
      </c>
      <c r="G7">
        <v>1</v>
      </c>
      <c r="H7">
        <v>2026</v>
      </c>
    </row>
    <row r="8" spans="1:8">
      <c r="A8" t="s">
        <v>0</v>
      </c>
      <c r="B8" t="s">
        <v>8</v>
      </c>
      <c r="C8" t="s">
        <v>10</v>
      </c>
      <c r="D8">
        <v>490</v>
      </c>
      <c r="E8">
        <v>12</v>
      </c>
      <c r="F8">
        <v>1</v>
      </c>
      <c r="G8">
        <v>12</v>
      </c>
      <c r="H8">
        <v>2026</v>
      </c>
    </row>
    <row r="9" spans="1:8">
      <c r="A9" t="s">
        <v>0</v>
      </c>
      <c r="B9" t="s">
        <v>8</v>
      </c>
      <c r="C9" t="s">
        <v>11</v>
      </c>
      <c r="D9">
        <v>310</v>
      </c>
      <c r="E9">
        <v>0</v>
      </c>
      <c r="F9">
        <v>1</v>
      </c>
      <c r="G9">
        <v>7</v>
      </c>
      <c r="H9">
        <v>2026</v>
      </c>
    </row>
    <row r="10" spans="1:8">
      <c r="A10" t="s">
        <v>0</v>
      </c>
      <c r="B10" t="s">
        <v>8</v>
      </c>
      <c r="C10" t="s">
        <v>11</v>
      </c>
      <c r="D10">
        <v>162</v>
      </c>
      <c r="E10">
        <v>124</v>
      </c>
      <c r="F10">
        <v>1</v>
      </c>
      <c r="G10">
        <v>8</v>
      </c>
      <c r="H10">
        <v>2026</v>
      </c>
    </row>
    <row r="11" spans="1:8">
      <c r="A11" t="s">
        <v>0</v>
      </c>
      <c r="B11" t="s">
        <v>8</v>
      </c>
      <c r="C11" t="s">
        <v>10</v>
      </c>
      <c r="D11">
        <v>184</v>
      </c>
      <c r="E11">
        <v>0</v>
      </c>
      <c r="F11">
        <v>1</v>
      </c>
      <c r="G11">
        <v>5</v>
      </c>
      <c r="H11">
        <v>2026</v>
      </c>
    </row>
    <row r="12" spans="1:8">
      <c r="A12" t="s">
        <v>0</v>
      </c>
      <c r="B12" t="s">
        <v>8</v>
      </c>
      <c r="C12" t="s">
        <v>9</v>
      </c>
      <c r="D12">
        <v>410</v>
      </c>
      <c r="E12">
        <v>27</v>
      </c>
      <c r="F12">
        <v>1</v>
      </c>
      <c r="G12">
        <v>17</v>
      </c>
      <c r="H12">
        <v>2026</v>
      </c>
    </row>
    <row r="13" spans="1:8">
      <c r="A13" t="s">
        <v>0</v>
      </c>
      <c r="B13" t="s">
        <v>8</v>
      </c>
      <c r="C13" t="s">
        <v>10</v>
      </c>
      <c r="D13">
        <v>166</v>
      </c>
      <c r="E13">
        <v>84</v>
      </c>
      <c r="F13">
        <v>1</v>
      </c>
      <c r="G13">
        <v>18</v>
      </c>
      <c r="H13">
        <v>2026</v>
      </c>
    </row>
    <row r="14" spans="1:8">
      <c r="A14" t="s">
        <v>0</v>
      </c>
      <c r="B14" t="s">
        <v>8</v>
      </c>
      <c r="C14" t="s">
        <v>11</v>
      </c>
      <c r="D14">
        <v>175</v>
      </c>
      <c r="E14">
        <v>0</v>
      </c>
      <c r="F14">
        <v>1</v>
      </c>
      <c r="G14">
        <v>24</v>
      </c>
      <c r="H14">
        <v>2026</v>
      </c>
    </row>
    <row r="15" spans="1:8">
      <c r="A15" t="s">
        <v>0</v>
      </c>
      <c r="B15" t="s">
        <v>8</v>
      </c>
      <c r="C15" t="s">
        <v>9</v>
      </c>
      <c r="D15">
        <v>490</v>
      </c>
      <c r="E15">
        <v>38</v>
      </c>
      <c r="F15">
        <v>1</v>
      </c>
      <c r="G15">
        <v>8</v>
      </c>
      <c r="H15">
        <v>2026</v>
      </c>
    </row>
    <row r="16" spans="1:8">
      <c r="A16" t="s">
        <v>0</v>
      </c>
      <c r="B16" t="s">
        <v>8</v>
      </c>
      <c r="C16" t="s">
        <v>9</v>
      </c>
      <c r="D16">
        <v>493</v>
      </c>
      <c r="E16">
        <v>35</v>
      </c>
      <c r="F16">
        <v>1</v>
      </c>
      <c r="G16">
        <v>19</v>
      </c>
      <c r="H16">
        <v>2026</v>
      </c>
    </row>
    <row r="17" spans="1:8">
      <c r="A17" t="s">
        <v>0</v>
      </c>
      <c r="B17" t="s">
        <v>8</v>
      </c>
      <c r="C17" t="s">
        <v>11</v>
      </c>
      <c r="D17">
        <v>187</v>
      </c>
      <c r="E17">
        <v>26</v>
      </c>
      <c r="F17">
        <v>1</v>
      </c>
      <c r="G17">
        <v>28</v>
      </c>
      <c r="H17">
        <v>2026</v>
      </c>
    </row>
    <row r="18" spans="1:8">
      <c r="A18" t="s">
        <v>0</v>
      </c>
      <c r="B18" t="s">
        <v>8</v>
      </c>
      <c r="C18" t="s">
        <v>10</v>
      </c>
      <c r="D18">
        <v>25.4</v>
      </c>
      <c r="E18">
        <v>102</v>
      </c>
      <c r="F18">
        <v>1</v>
      </c>
      <c r="G18">
        <v>6</v>
      </c>
      <c r="H18">
        <v>2026</v>
      </c>
    </row>
    <row r="19" spans="1:8">
      <c r="A19" t="s">
        <v>0</v>
      </c>
      <c r="B19" t="s">
        <v>8</v>
      </c>
      <c r="C19" t="s">
        <v>11</v>
      </c>
      <c r="D19">
        <v>90</v>
      </c>
      <c r="E19">
        <v>151</v>
      </c>
      <c r="F19">
        <v>1</v>
      </c>
      <c r="G19">
        <v>15</v>
      </c>
      <c r="H19">
        <v>2026</v>
      </c>
    </row>
    <row r="20" spans="1:8">
      <c r="A20" t="s">
        <v>0</v>
      </c>
      <c r="B20" t="s">
        <v>8</v>
      </c>
      <c r="C20" t="s">
        <v>9</v>
      </c>
      <c r="D20">
        <v>244</v>
      </c>
      <c r="E20">
        <v>0</v>
      </c>
      <c r="F20">
        <v>1</v>
      </c>
      <c r="G20">
        <v>12</v>
      </c>
      <c r="H20">
        <v>2026</v>
      </c>
    </row>
    <row r="21" spans="1:8">
      <c r="A21" t="s">
        <v>0</v>
      </c>
      <c r="B21" t="s">
        <v>8</v>
      </c>
      <c r="C21" t="s">
        <v>10</v>
      </c>
      <c r="D21">
        <v>186</v>
      </c>
      <c r="E21">
        <v>189</v>
      </c>
      <c r="F21">
        <v>1</v>
      </c>
      <c r="G21">
        <v>22</v>
      </c>
      <c r="H21">
        <v>2026</v>
      </c>
    </row>
    <row r="22" spans="1:8">
      <c r="A22" t="s">
        <v>0</v>
      </c>
      <c r="B22" t="s">
        <v>8</v>
      </c>
      <c r="C22" t="s">
        <v>11</v>
      </c>
      <c r="D22">
        <v>359</v>
      </c>
      <c r="E22">
        <v>0</v>
      </c>
      <c r="F22">
        <v>1</v>
      </c>
      <c r="G22">
        <v>13</v>
      </c>
      <c r="H22">
        <v>2026</v>
      </c>
    </row>
    <row r="23" spans="1:8">
      <c r="A23" t="s">
        <v>0</v>
      </c>
      <c r="B23" t="s">
        <v>8</v>
      </c>
      <c r="C23" t="s">
        <v>9</v>
      </c>
      <c r="D23">
        <v>266</v>
      </c>
      <c r="E23">
        <v>97</v>
      </c>
      <c r="F23">
        <v>1</v>
      </c>
      <c r="G23">
        <v>10</v>
      </c>
      <c r="H23">
        <v>2026</v>
      </c>
    </row>
    <row r="24" spans="1:8">
      <c r="A24" t="s">
        <v>0</v>
      </c>
      <c r="B24" t="s">
        <v>8</v>
      </c>
      <c r="C24" t="s">
        <v>9</v>
      </c>
      <c r="D24">
        <v>470</v>
      </c>
      <c r="E24">
        <v>18</v>
      </c>
      <c r="F24">
        <v>1</v>
      </c>
      <c r="G24">
        <v>27</v>
      </c>
      <c r="H24">
        <v>2026</v>
      </c>
    </row>
    <row r="25" spans="1:8">
      <c r="A25" t="s">
        <v>0</v>
      </c>
      <c r="B25" t="s">
        <v>8</v>
      </c>
      <c r="C25" t="s">
        <v>10</v>
      </c>
      <c r="D25">
        <v>382</v>
      </c>
      <c r="E25">
        <v>0</v>
      </c>
      <c r="F25">
        <v>1</v>
      </c>
      <c r="G25">
        <v>7</v>
      </c>
      <c r="H25">
        <v>2026</v>
      </c>
    </row>
    <row r="26" spans="1:8">
      <c r="A26" t="s">
        <v>0</v>
      </c>
      <c r="B26" t="s">
        <v>8</v>
      </c>
      <c r="C26" t="s">
        <v>10</v>
      </c>
      <c r="D26">
        <v>375</v>
      </c>
      <c r="E26">
        <v>53</v>
      </c>
      <c r="F26">
        <v>1</v>
      </c>
      <c r="G26">
        <v>23</v>
      </c>
      <c r="H26">
        <v>2026</v>
      </c>
    </row>
    <row r="27" spans="1:8">
      <c r="A27" t="s">
        <v>0</v>
      </c>
      <c r="B27" t="s">
        <v>8</v>
      </c>
      <c r="C27" t="s">
        <v>10</v>
      </c>
      <c r="D27">
        <v>107</v>
      </c>
      <c r="E27">
        <v>0</v>
      </c>
      <c r="F27">
        <v>1</v>
      </c>
      <c r="G27">
        <v>1</v>
      </c>
      <c r="H27">
        <v>2026</v>
      </c>
    </row>
    <row r="28" spans="1:8">
      <c r="A28" t="s">
        <v>0</v>
      </c>
      <c r="B28" t="s">
        <v>8</v>
      </c>
      <c r="C28" t="s">
        <v>11</v>
      </c>
      <c r="D28">
        <v>188</v>
      </c>
      <c r="E28">
        <v>173</v>
      </c>
      <c r="F28">
        <v>1</v>
      </c>
      <c r="G28">
        <v>25</v>
      </c>
      <c r="H28">
        <v>2026</v>
      </c>
    </row>
    <row r="29" spans="1:8">
      <c r="A29" t="s">
        <v>0</v>
      </c>
      <c r="B29" t="s">
        <v>8</v>
      </c>
      <c r="C29" t="s">
        <v>10</v>
      </c>
      <c r="D29">
        <v>285</v>
      </c>
      <c r="E29">
        <v>147</v>
      </c>
      <c r="F29">
        <v>1</v>
      </c>
      <c r="G29">
        <v>14</v>
      </c>
      <c r="H29">
        <v>2026</v>
      </c>
    </row>
    <row r="30" spans="1:8">
      <c r="A30" t="s">
        <v>0</v>
      </c>
      <c r="B30" t="s">
        <v>8</v>
      </c>
      <c r="C30" t="s">
        <v>9</v>
      </c>
      <c r="D30">
        <v>160</v>
      </c>
      <c r="E30">
        <v>96</v>
      </c>
      <c r="F30">
        <v>1</v>
      </c>
      <c r="G30">
        <v>11</v>
      </c>
      <c r="H30">
        <v>2026</v>
      </c>
    </row>
    <row r="31" spans="1:8">
      <c r="A31" t="s">
        <v>0</v>
      </c>
      <c r="B31" t="s">
        <v>8</v>
      </c>
      <c r="C31" t="s">
        <v>10</v>
      </c>
      <c r="D31">
        <v>82</v>
      </c>
      <c r="E31">
        <v>108</v>
      </c>
      <c r="F31">
        <v>1</v>
      </c>
      <c r="G31">
        <v>10</v>
      </c>
      <c r="H31">
        <v>2026</v>
      </c>
    </row>
    <row r="32" spans="1:8">
      <c r="A32" t="s">
        <v>0</v>
      </c>
      <c r="B32" t="s">
        <v>8</v>
      </c>
      <c r="C32" t="s">
        <v>9</v>
      </c>
      <c r="D32">
        <v>161</v>
      </c>
      <c r="E32">
        <v>69</v>
      </c>
      <c r="F32">
        <v>1</v>
      </c>
      <c r="G32">
        <v>5</v>
      </c>
      <c r="H32">
        <v>2026</v>
      </c>
    </row>
    <row r="33" spans="1:8">
      <c r="A33" t="s">
        <v>0</v>
      </c>
      <c r="B33" t="s">
        <v>8</v>
      </c>
      <c r="C33" t="s">
        <v>10</v>
      </c>
      <c r="D33">
        <v>63</v>
      </c>
      <c r="E33">
        <v>153</v>
      </c>
      <c r="F33">
        <v>1</v>
      </c>
      <c r="G33">
        <v>6</v>
      </c>
      <c r="H33">
        <v>2026</v>
      </c>
    </row>
    <row r="34" spans="1:8">
      <c r="A34" t="s">
        <v>0</v>
      </c>
      <c r="B34" t="s">
        <v>8</v>
      </c>
      <c r="C34" t="s">
        <v>10</v>
      </c>
      <c r="D34">
        <v>131</v>
      </c>
      <c r="E34">
        <v>184</v>
      </c>
      <c r="F34">
        <v>1</v>
      </c>
      <c r="G34">
        <v>9</v>
      </c>
      <c r="H34">
        <v>2026</v>
      </c>
    </row>
    <row r="35" spans="1:8">
      <c r="A35" t="s">
        <v>0</v>
      </c>
      <c r="B35" t="s">
        <v>8</v>
      </c>
      <c r="C35" t="s">
        <v>10</v>
      </c>
      <c r="D35">
        <v>266</v>
      </c>
      <c r="E35">
        <v>18</v>
      </c>
      <c r="F35">
        <v>1</v>
      </c>
      <c r="G35">
        <v>4</v>
      </c>
      <c r="H35">
        <v>2026</v>
      </c>
    </row>
    <row r="36" spans="1:8">
      <c r="A36" t="s">
        <v>0</v>
      </c>
      <c r="B36" t="s">
        <v>8</v>
      </c>
      <c r="C36" t="s">
        <v>10</v>
      </c>
      <c r="D36">
        <v>366</v>
      </c>
      <c r="E36">
        <v>102</v>
      </c>
      <c r="F36">
        <v>1</v>
      </c>
      <c r="G36">
        <v>16</v>
      </c>
      <c r="H36">
        <v>2026</v>
      </c>
    </row>
    <row r="37" spans="1:8">
      <c r="A37" t="s">
        <v>0</v>
      </c>
      <c r="B37" t="s">
        <v>8</v>
      </c>
      <c r="C37" t="s">
        <v>11</v>
      </c>
      <c r="D37">
        <v>282</v>
      </c>
      <c r="E37">
        <v>0</v>
      </c>
      <c r="F37">
        <v>1</v>
      </c>
      <c r="G37">
        <v>20</v>
      </c>
      <c r="H37">
        <v>2026</v>
      </c>
    </row>
    <row r="38" spans="1:8">
      <c r="A38" t="s">
        <v>0</v>
      </c>
      <c r="B38" t="s">
        <v>8</v>
      </c>
      <c r="C38" t="s">
        <v>9</v>
      </c>
      <c r="D38">
        <v>164</v>
      </c>
      <c r="E38">
        <v>45</v>
      </c>
      <c r="F38">
        <v>1</v>
      </c>
      <c r="G38">
        <v>2</v>
      </c>
      <c r="H38">
        <v>2026</v>
      </c>
    </row>
    <row r="39" spans="1:8">
      <c r="A39" t="s">
        <v>0</v>
      </c>
      <c r="B39" t="s">
        <v>8</v>
      </c>
      <c r="C39" t="s">
        <v>9</v>
      </c>
      <c r="D39">
        <v>176</v>
      </c>
      <c r="E39">
        <v>200</v>
      </c>
      <c r="F39">
        <v>1</v>
      </c>
      <c r="G39">
        <v>4</v>
      </c>
      <c r="H39">
        <v>2026</v>
      </c>
    </row>
    <row r="40" spans="1:8">
      <c r="A40" t="s">
        <v>0</v>
      </c>
      <c r="B40" t="s">
        <v>8</v>
      </c>
      <c r="C40" t="s">
        <v>9</v>
      </c>
      <c r="D40">
        <v>239</v>
      </c>
      <c r="E40">
        <v>100</v>
      </c>
      <c r="F40">
        <v>1</v>
      </c>
      <c r="G40">
        <v>21</v>
      </c>
      <c r="H40">
        <v>2026</v>
      </c>
    </row>
    <row r="41" spans="1:8">
      <c r="A41" t="s">
        <v>0</v>
      </c>
      <c r="B41" t="s">
        <v>8</v>
      </c>
      <c r="C41" t="s">
        <v>10</v>
      </c>
      <c r="D41">
        <v>289</v>
      </c>
      <c r="E41">
        <v>0</v>
      </c>
      <c r="F41">
        <v>1</v>
      </c>
      <c r="G41">
        <v>11</v>
      </c>
      <c r="H41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7FEB-B182-4BC0-80FD-3156741F0F70}">
  <dimension ref="A3:E7"/>
  <sheetViews>
    <sheetView workbookViewId="0">
      <selection activeCell="C17" sqref="C17"/>
    </sheetView>
  </sheetViews>
  <sheetFormatPr defaultRowHeight="15"/>
  <cols>
    <col min="1" max="1" width="13.140625" bestFit="1" customWidth="1"/>
    <col min="2" max="2" width="21.85546875" bestFit="1" customWidth="1"/>
    <col min="3" max="3" width="28.28515625" bestFit="1" customWidth="1"/>
    <col min="4" max="4" width="14.85546875" customWidth="1"/>
    <col min="5" max="5" width="23.5703125" customWidth="1"/>
  </cols>
  <sheetData>
    <row r="3" spans="1:5">
      <c r="A3" s="3" t="s">
        <v>12</v>
      </c>
      <c r="B3" s="3" t="s">
        <v>13</v>
      </c>
      <c r="C3" t="s">
        <v>14</v>
      </c>
      <c r="D3" s="1" t="s">
        <v>15</v>
      </c>
      <c r="E3" s="1" t="s">
        <v>16</v>
      </c>
    </row>
    <row r="4" spans="1:5">
      <c r="A4" s="2" t="s">
        <v>11</v>
      </c>
      <c r="B4">
        <v>2217</v>
      </c>
      <c r="C4">
        <v>485</v>
      </c>
      <c r="D4">
        <f t="shared" ref="D4:D7" si="0">B4+C4</f>
        <v>2702</v>
      </c>
      <c r="E4">
        <f t="shared" ref="E4:E7" si="1">C4/D4 %</f>
        <v>17.949666913397483</v>
      </c>
    </row>
    <row r="5" spans="1:5">
      <c r="A5" s="2" t="s">
        <v>9</v>
      </c>
      <c r="B5">
        <v>4058</v>
      </c>
      <c r="C5">
        <v>955</v>
      </c>
      <c r="D5">
        <f t="shared" si="0"/>
        <v>5013</v>
      </c>
      <c r="E5">
        <f t="shared" si="1"/>
        <v>19.050468781168959</v>
      </c>
    </row>
    <row r="6" spans="1:5">
      <c r="A6" s="2" t="s">
        <v>10</v>
      </c>
      <c r="B6">
        <v>4608.3999999999996</v>
      </c>
      <c r="C6">
        <v>1540</v>
      </c>
      <c r="D6">
        <f t="shared" si="0"/>
        <v>6148.4</v>
      </c>
      <c r="E6">
        <f t="shared" si="1"/>
        <v>25.047166742567175</v>
      </c>
    </row>
    <row r="7" spans="1:5">
      <c r="A7" s="2" t="s">
        <v>17</v>
      </c>
      <c r="B7">
        <v>10883.4</v>
      </c>
      <c r="C7">
        <v>2980</v>
      </c>
      <c r="D7">
        <f t="shared" si="0"/>
        <v>13863.4</v>
      </c>
      <c r="E7">
        <f t="shared" si="1"/>
        <v>21.495448446989919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90C7-490D-4312-A4CC-BB2DAC0903BE}">
  <dimension ref="A1:H29"/>
  <sheetViews>
    <sheetView workbookViewId="0">
      <selection activeCell="H1" sqref="H1"/>
    </sheetView>
  </sheetViews>
  <sheetFormatPr defaultRowHeight="15"/>
  <cols>
    <col min="1" max="1" width="14.7109375" customWidth="1"/>
    <col min="2" max="2" width="15.140625" customWidth="1"/>
    <col min="3" max="3" width="17.42578125" customWidth="1"/>
    <col min="4" max="4" width="10.140625" customWidth="1"/>
    <col min="5" max="5" width="20.42578125" customWidth="1"/>
  </cols>
  <sheetData>
    <row r="1" spans="1:3">
      <c r="A1" s="13" t="s">
        <v>19</v>
      </c>
    </row>
    <row r="2" spans="1:3">
      <c r="A2" s="4"/>
    </row>
    <row r="3" spans="1:3">
      <c r="A3" s="13" t="s">
        <v>20</v>
      </c>
    </row>
    <row r="4" spans="1:3">
      <c r="A4" s="4"/>
    </row>
    <row r="5" spans="1:3">
      <c r="A5" s="13" t="s">
        <v>21</v>
      </c>
    </row>
    <row r="6" spans="1:3">
      <c r="A6" s="4"/>
    </row>
    <row r="7" spans="1:3">
      <c r="A7" s="13" t="s">
        <v>22</v>
      </c>
    </row>
    <row r="8" spans="1:3">
      <c r="A8" s="4"/>
    </row>
    <row r="9" spans="1:3">
      <c r="A9" s="13" t="s">
        <v>23</v>
      </c>
    </row>
    <row r="12" spans="1:3" ht="15.75">
      <c r="A12" s="12" t="s">
        <v>24</v>
      </c>
    </row>
    <row r="13" spans="1:3" ht="15.75" thickBot="1"/>
    <row r="14" spans="1:3" ht="30.75" thickBot="1">
      <c r="A14" s="8" t="s">
        <v>25</v>
      </c>
      <c r="B14" s="8" t="s">
        <v>26</v>
      </c>
      <c r="C14" s="8" t="s">
        <v>27</v>
      </c>
    </row>
    <row r="15" spans="1:3" ht="57.75" thickBot="1">
      <c r="A15" s="8" t="s">
        <v>28</v>
      </c>
      <c r="B15" s="9" t="s">
        <v>29</v>
      </c>
      <c r="C15" s="9" t="s">
        <v>30</v>
      </c>
    </row>
    <row r="16" spans="1:3" ht="30.75" thickBot="1">
      <c r="A16" s="8" t="s">
        <v>31</v>
      </c>
      <c r="B16" s="9" t="s">
        <v>32</v>
      </c>
      <c r="C16" s="9" t="s">
        <v>33</v>
      </c>
    </row>
    <row r="17" spans="1:8" ht="30.75" thickBot="1">
      <c r="A17" s="8" t="s">
        <v>34</v>
      </c>
      <c r="B17" s="9">
        <v>220</v>
      </c>
      <c r="C17" s="9" t="s">
        <v>35</v>
      </c>
    </row>
    <row r="18" spans="1:8" ht="30.75" thickBot="1">
      <c r="A18" s="8" t="s">
        <v>36</v>
      </c>
      <c r="B18" s="9" t="s">
        <v>37</v>
      </c>
      <c r="C18" s="9" t="s">
        <v>38</v>
      </c>
    </row>
    <row r="19" spans="1:8" ht="45.75" thickBot="1">
      <c r="A19" s="8" t="s">
        <v>39</v>
      </c>
      <c r="B19" s="9" t="s">
        <v>10</v>
      </c>
      <c r="C19" s="9" t="s">
        <v>40</v>
      </c>
    </row>
    <row r="20" spans="1:8" ht="15.75" thickBot="1">
      <c r="A20" s="8" t="s">
        <v>41</v>
      </c>
      <c r="B20" s="9" t="s">
        <v>42</v>
      </c>
      <c r="C20" s="9" t="s">
        <v>43</v>
      </c>
    </row>
    <row r="21" spans="1:8" ht="15.75" thickBot="1">
      <c r="A21" s="8" t="s">
        <v>44</v>
      </c>
      <c r="B21" s="9" t="s">
        <v>42</v>
      </c>
      <c r="C21" s="9" t="s">
        <v>43</v>
      </c>
    </row>
    <row r="22" spans="1:8">
      <c r="A22" s="15"/>
      <c r="B22" s="16"/>
      <c r="C22" s="16"/>
    </row>
    <row r="23" spans="1:8" ht="15.75">
      <c r="A23" s="12" t="s">
        <v>45</v>
      </c>
    </row>
    <row r="24" spans="1:8" ht="15.75" thickBot="1"/>
    <row r="25" spans="1:8" ht="45.75" thickBot="1">
      <c r="A25" s="8" t="s">
        <v>18</v>
      </c>
      <c r="B25" s="8" t="s">
        <v>46</v>
      </c>
      <c r="C25" s="8" t="s">
        <v>47</v>
      </c>
      <c r="D25" s="8" t="s">
        <v>48</v>
      </c>
      <c r="E25" s="8" t="s">
        <v>49</v>
      </c>
      <c r="F25" s="8" t="s">
        <v>50</v>
      </c>
      <c r="G25" s="8" t="s">
        <v>36</v>
      </c>
      <c r="H25" s="8" t="s">
        <v>51</v>
      </c>
    </row>
    <row r="26" spans="1:8" ht="29.25" thickBot="1">
      <c r="A26" s="8" t="s">
        <v>11</v>
      </c>
      <c r="B26" s="9">
        <v>42</v>
      </c>
      <c r="C26" s="9" t="s">
        <v>52</v>
      </c>
      <c r="D26" s="9">
        <v>24</v>
      </c>
      <c r="E26" s="9" t="s">
        <v>53</v>
      </c>
      <c r="F26" s="9">
        <v>66</v>
      </c>
      <c r="G26" s="9" t="s">
        <v>43</v>
      </c>
      <c r="H26" s="10">
        <v>0.3</v>
      </c>
    </row>
    <row r="27" spans="1:8" ht="29.25" thickBot="1">
      <c r="A27" s="8" t="s">
        <v>9</v>
      </c>
      <c r="B27" s="9">
        <v>27</v>
      </c>
      <c r="C27" s="9" t="s">
        <v>54</v>
      </c>
      <c r="D27" s="9">
        <v>39</v>
      </c>
      <c r="E27" s="9" t="s">
        <v>55</v>
      </c>
      <c r="F27" s="9">
        <v>66</v>
      </c>
      <c r="G27" s="9" t="s">
        <v>43</v>
      </c>
      <c r="H27" s="10">
        <v>0.3</v>
      </c>
    </row>
    <row r="28" spans="1:8" ht="30.75" thickBot="1">
      <c r="A28" s="8" t="s">
        <v>10</v>
      </c>
      <c r="B28" s="9">
        <v>48</v>
      </c>
      <c r="C28" s="9" t="s">
        <v>56</v>
      </c>
      <c r="D28" s="9">
        <v>40</v>
      </c>
      <c r="E28" s="9" t="s">
        <v>57</v>
      </c>
      <c r="F28" s="9">
        <v>88</v>
      </c>
      <c r="G28" s="9" t="s">
        <v>58</v>
      </c>
      <c r="H28" s="10">
        <v>0.4</v>
      </c>
    </row>
    <row r="29" spans="1:8" ht="30.75" thickBot="1">
      <c r="A29" s="8" t="s">
        <v>59</v>
      </c>
      <c r="B29" s="8">
        <v>117</v>
      </c>
      <c r="C29" s="8" t="s">
        <v>60</v>
      </c>
      <c r="D29" s="8">
        <v>103</v>
      </c>
      <c r="E29" s="8" t="s">
        <v>61</v>
      </c>
      <c r="F29" s="8">
        <v>220</v>
      </c>
      <c r="G29" s="8" t="s">
        <v>37</v>
      </c>
      <c r="H29" s="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21DC-6DD0-4E0C-A78E-6ACB61549A72}">
  <dimension ref="A1:A34"/>
  <sheetViews>
    <sheetView tabSelected="1" workbookViewId="0"/>
  </sheetViews>
  <sheetFormatPr defaultRowHeight="15"/>
  <sheetData>
    <row r="1" spans="1:1" ht="15.75">
      <c r="A1" s="14" t="s">
        <v>62</v>
      </c>
    </row>
    <row r="2" spans="1:1">
      <c r="A2" s="4"/>
    </row>
    <row r="3" spans="1:1">
      <c r="A3" s="5" t="s">
        <v>63</v>
      </c>
    </row>
    <row r="4" spans="1:1">
      <c r="A4" s="6" t="s">
        <v>64</v>
      </c>
    </row>
    <row r="5" spans="1:1">
      <c r="A5" s="4"/>
    </row>
    <row r="6" spans="1:1">
      <c r="A6" s="5" t="s">
        <v>65</v>
      </c>
    </row>
    <row r="7" spans="1:1">
      <c r="A7" s="6" t="s">
        <v>66</v>
      </c>
    </row>
    <row r="8" spans="1:1">
      <c r="A8" s="6"/>
    </row>
    <row r="9" spans="1:1">
      <c r="A9" s="6" t="s">
        <v>67</v>
      </c>
    </row>
    <row r="10" spans="1:1">
      <c r="A10" s="4"/>
    </row>
    <row r="11" spans="1:1">
      <c r="A11" s="5" t="s">
        <v>68</v>
      </c>
    </row>
    <row r="12" spans="1:1">
      <c r="A12" s="6" t="s">
        <v>69</v>
      </c>
    </row>
    <row r="13" spans="1:1">
      <c r="A13" s="4"/>
    </row>
    <row r="14" spans="1:1">
      <c r="A14" s="5" t="s">
        <v>70</v>
      </c>
    </row>
    <row r="15" spans="1:1">
      <c r="A15" s="6" t="s">
        <v>71</v>
      </c>
    </row>
    <row r="16" spans="1:1">
      <c r="A16" s="4"/>
    </row>
    <row r="17" spans="1:1">
      <c r="A17" s="5" t="s">
        <v>72</v>
      </c>
    </row>
    <row r="18" spans="1:1">
      <c r="A18" s="6" t="s">
        <v>73</v>
      </c>
    </row>
    <row r="20" spans="1:1" ht="15.75">
      <c r="A20" s="14" t="s">
        <v>74</v>
      </c>
    </row>
    <row r="21" spans="1:1">
      <c r="A21" s="4"/>
    </row>
    <row r="22" spans="1:1">
      <c r="A22" s="5" t="s">
        <v>75</v>
      </c>
    </row>
    <row r="23" spans="1:1">
      <c r="A23" s="6" t="s">
        <v>76</v>
      </c>
    </row>
    <row r="24" spans="1:1">
      <c r="A24" s="6"/>
    </row>
    <row r="25" spans="1:1">
      <c r="A25" s="7" t="s">
        <v>77</v>
      </c>
    </row>
    <row r="26" spans="1:1">
      <c r="A26" s="4"/>
    </row>
    <row r="27" spans="1:1">
      <c r="A27" s="5" t="s">
        <v>78</v>
      </c>
    </row>
    <row r="28" spans="1:1">
      <c r="A28" s="7" t="s">
        <v>79</v>
      </c>
    </row>
    <row r="29" spans="1:1">
      <c r="A29" s="4"/>
    </row>
    <row r="30" spans="1:1">
      <c r="A30" s="5" t="s">
        <v>80</v>
      </c>
    </row>
    <row r="31" spans="1:1">
      <c r="A31" s="7" t="s">
        <v>81</v>
      </c>
    </row>
    <row r="32" spans="1:1">
      <c r="A32" s="4"/>
    </row>
    <row r="33" spans="1:1">
      <c r="A33" s="5" t="s">
        <v>82</v>
      </c>
    </row>
    <row r="34" spans="1:1">
      <c r="A34" s="7" t="s">
        <v>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7F9A7-3BAF-4BC1-9D12-B0D9350BB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 clean file</vt:lpstr>
      <vt:lpstr>Summary</vt:lpstr>
      <vt:lpstr>LAUNCH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2026-10-20T04:49:55Z</dcterms:created>
  <dcterms:modified xsi:type="dcterms:W3CDTF">2026-10-20T12:34:13Z</dcterms:modified>
</cp:coreProperties>
</file>